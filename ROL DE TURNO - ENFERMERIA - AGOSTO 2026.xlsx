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252" activeTab="1"/>
  </bookViews>
  <sheets>
    <sheet name="cirugia" sheetId="1" r:id="rId1"/>
    <sheet name="cons ext" sheetId="2" r:id="rId2"/>
    <sheet name="dilatacion" sheetId="3" r:id="rId3"/>
    <sheet name="emergencia" sheetId="4" r:id="rId4"/>
    <sheet name="ginecologia" sheetId="5" r:id="rId5"/>
    <sheet name="hemodialisis" sheetId="6" r:id="rId6"/>
    <sheet name="jefatura enfermeria" sheetId="7" r:id="rId7"/>
    <sheet name="med int" sheetId="8" r:id="rId8"/>
    <sheet name="neonatologia" sheetId="9" r:id="rId9"/>
    <sheet name="pediatria" sheetId="10" r:id="rId10"/>
    <sheet name="quirofano" sheetId="11" r:id="rId11"/>
    <sheet name="uci" sheetId="12" r:id="rId12"/>
  </sheets>
  <calcPr calcId="162913"/>
</workbook>
</file>

<file path=xl/calcChain.xml><?xml version="1.0" encoding="utf-8"?>
<calcChain xmlns="http://schemas.openxmlformats.org/spreadsheetml/2006/main">
  <c r="AN30" i="9" l="1"/>
  <c r="AN29" i="9"/>
  <c r="AN28" i="9"/>
  <c r="AN27" i="9"/>
  <c r="AN26" i="9"/>
  <c r="AN25" i="9"/>
  <c r="AN24" i="9"/>
  <c r="AN23" i="9"/>
  <c r="AN22" i="9"/>
  <c r="AN21" i="9"/>
  <c r="AN20" i="9"/>
  <c r="AN19" i="9"/>
  <c r="AN18" i="9"/>
  <c r="AN17" i="9"/>
  <c r="AN16" i="9"/>
  <c r="AN15" i="9"/>
  <c r="AN14" i="9"/>
  <c r="AN13" i="9"/>
  <c r="AN12" i="9"/>
  <c r="AN11" i="9"/>
  <c r="AN10" i="9"/>
  <c r="AN9" i="9"/>
  <c r="AN8" i="9"/>
  <c r="AN7" i="9"/>
  <c r="AN34" i="8" l="1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13" i="7" l="1"/>
  <c r="AN12" i="7"/>
  <c r="AN11" i="7"/>
  <c r="AN10" i="7"/>
  <c r="AN9" i="7"/>
  <c r="AN8" i="7"/>
  <c r="AN7" i="7"/>
  <c r="AN31" i="5" l="1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6" i="5"/>
  <c r="AN22" i="3" l="1"/>
  <c r="AN18" i="3"/>
  <c r="AN16" i="3"/>
  <c r="AN13" i="3"/>
  <c r="AN12" i="3"/>
</calcChain>
</file>

<file path=xl/sharedStrings.xml><?xml version="1.0" encoding="utf-8"?>
<sst xmlns="http://schemas.openxmlformats.org/spreadsheetml/2006/main" count="2478" uniqueCount="1161">
  <si>
    <t>SERVICIO: CIRUGIA</t>
  </si>
  <si>
    <t>HOSPITAL MUNICIPAL BAJIO DEL ORIENTE</t>
  </si>
  <si>
    <t>AGOSTO</t>
  </si>
  <si>
    <t>AÑO: 2026</t>
  </si>
  <si>
    <t>ROL DE TURNO</t>
  </si>
  <si>
    <t>JEFE DE SERVICIO: LIC. FABIOLA MACUENDE IQUIZE</t>
  </si>
  <si>
    <t>N° CI</t>
  </si>
  <si>
    <t>APELLIDO PATERNO</t>
  </si>
  <si>
    <t>APELLIDO MATERNO</t>
  </si>
  <si>
    <t>NOMBRES</t>
  </si>
  <si>
    <t>CARGO</t>
  </si>
  <si>
    <t>HORARIO</t>
  </si>
  <si>
    <t>CELULAR</t>
  </si>
  <si>
    <t>TOTAL HORAS TRABAJADAS</t>
  </si>
  <si>
    <t>ENTRADA</t>
  </si>
  <si>
    <t>SALIDA</t>
  </si>
  <si>
    <t>S</t>
  </si>
  <si>
    <t>D</t>
  </si>
  <si>
    <t>L</t>
  </si>
  <si>
    <t>M</t>
  </si>
  <si>
    <t>J</t>
  </si>
  <si>
    <t>V</t>
  </si>
  <si>
    <t>9758384-Sc</t>
  </si>
  <si>
    <t xml:space="preserve">MACUENDE </t>
  </si>
  <si>
    <t>IQUIZE</t>
  </si>
  <si>
    <t>FABIOLA</t>
  </si>
  <si>
    <t>JEFE DE SERVICIO</t>
  </si>
  <si>
    <t>8860719-Sc</t>
  </si>
  <si>
    <t xml:space="preserve">PARI </t>
  </si>
  <si>
    <t>FERNANDEZ</t>
  </si>
  <si>
    <t>GABRIELA</t>
  </si>
  <si>
    <t>LIC.RESP. REPORTE</t>
  </si>
  <si>
    <t>9729802-Sc</t>
  </si>
  <si>
    <t xml:space="preserve">YEPEZ </t>
  </si>
  <si>
    <t>FIGUEROA</t>
  </si>
  <si>
    <t>SANDRA</t>
  </si>
  <si>
    <t>6 T</t>
  </si>
  <si>
    <t>5885745-Sc</t>
  </si>
  <si>
    <t>PEREZ</t>
  </si>
  <si>
    <t>BUSTILLOS</t>
  </si>
  <si>
    <t>LUIS MIGUEL</t>
  </si>
  <si>
    <t>AUX.C.S.V.</t>
  </si>
  <si>
    <t>3929287-Sc</t>
  </si>
  <si>
    <t>SANTOS</t>
  </si>
  <si>
    <t xml:space="preserve">RODAS </t>
  </si>
  <si>
    <t>SABINA</t>
  </si>
  <si>
    <t>6371511-Sc</t>
  </si>
  <si>
    <t>DUCHEN</t>
  </si>
  <si>
    <t>LOZANO</t>
  </si>
  <si>
    <t>KENNY</t>
  </si>
  <si>
    <t>6330581-Sc</t>
  </si>
  <si>
    <t>VALDIVIA</t>
  </si>
  <si>
    <t>CARLOTA</t>
  </si>
  <si>
    <t>VACACIONES</t>
  </si>
  <si>
    <t>4467932-Cbba</t>
  </si>
  <si>
    <t>MONTAÑO</t>
  </si>
  <si>
    <t>CHOQUE</t>
  </si>
  <si>
    <t>LIDIA</t>
  </si>
  <si>
    <t>6353964-Sc</t>
  </si>
  <si>
    <t>CHAVEZ</t>
  </si>
  <si>
    <t>SOLIZ</t>
  </si>
  <si>
    <t>CLARA</t>
  </si>
  <si>
    <t>9732429-Sc</t>
  </si>
  <si>
    <t xml:space="preserve">ROCHA </t>
  </si>
  <si>
    <t>VEIZAGA</t>
  </si>
  <si>
    <t>YENNY</t>
  </si>
  <si>
    <t>5756342 Or.</t>
  </si>
  <si>
    <t>MAMANI</t>
  </si>
  <si>
    <t>CHAPARRO</t>
  </si>
  <si>
    <t>GRISELDA MARISAVEL</t>
  </si>
  <si>
    <t>1115668 Ch.</t>
  </si>
  <si>
    <t>AGUILAR</t>
  </si>
  <si>
    <t>RODRIGUEZ</t>
  </si>
  <si>
    <t>7676978-Sc</t>
  </si>
  <si>
    <t>FLORES</t>
  </si>
  <si>
    <t>SEVERICHE</t>
  </si>
  <si>
    <t>MARIA ESTER</t>
  </si>
  <si>
    <t>5723335- Or.</t>
  </si>
  <si>
    <t>HUARACHI</t>
  </si>
  <si>
    <t>HUANCA</t>
  </si>
  <si>
    <t>ELY</t>
  </si>
  <si>
    <t>5681803-Ch</t>
  </si>
  <si>
    <t>ZAMORA</t>
  </si>
  <si>
    <t>DAZA</t>
  </si>
  <si>
    <t>JUDITH</t>
  </si>
  <si>
    <t>7521267-Sc</t>
  </si>
  <si>
    <t>MARQUEZ</t>
  </si>
  <si>
    <t>AVENDAÑO</t>
  </si>
  <si>
    <t>VIRGINIA</t>
  </si>
  <si>
    <t>8096308-1T-Sc</t>
  </si>
  <si>
    <t>CHUMACERO</t>
  </si>
  <si>
    <t>SERRANO</t>
  </si>
  <si>
    <t>ELENA</t>
  </si>
  <si>
    <t>7852826- Sc</t>
  </si>
  <si>
    <t>AGUIRRE</t>
  </si>
  <si>
    <t>AÑEZ</t>
  </si>
  <si>
    <t>CLAUDIA PAMELA</t>
  </si>
  <si>
    <t>7011397-Lp</t>
  </si>
  <si>
    <t>YUJRA</t>
  </si>
  <si>
    <t>ROQUE</t>
  </si>
  <si>
    <t>SONIA SOFIA</t>
  </si>
  <si>
    <t>6320421-Sc</t>
  </si>
  <si>
    <t>ALMANZA</t>
  </si>
  <si>
    <t>JAIMES</t>
  </si>
  <si>
    <t>ELIZABETH</t>
  </si>
  <si>
    <t>4687543-Sc</t>
  </si>
  <si>
    <t>ROSARIO</t>
  </si>
  <si>
    <t>4676568-Sc</t>
  </si>
  <si>
    <t>AYALA</t>
  </si>
  <si>
    <t>MARIA NELLY</t>
  </si>
  <si>
    <t>6241904 SC</t>
  </si>
  <si>
    <t>BALCAZAR</t>
  </si>
  <si>
    <t>CADIMA</t>
  </si>
  <si>
    <t xml:space="preserve">MARIA DEL CARMEN </t>
  </si>
  <si>
    <t>4112566-Ch</t>
  </si>
  <si>
    <t>QUISPE</t>
  </si>
  <si>
    <t>MARTHA</t>
  </si>
  <si>
    <t xml:space="preserve">  </t>
  </si>
  <si>
    <t>HORARIO DE LACTANCIA</t>
  </si>
  <si>
    <t>CAMBIOS DE TURNO PARA CUBRIR VACACION</t>
  </si>
  <si>
    <t xml:space="preserve">CAMBIOS DE TURNO </t>
  </si>
  <si>
    <t xml:space="preserve">SERVICIO: </t>
  </si>
  <si>
    <t>CONSULTA EXTERNA</t>
  </si>
  <si>
    <t>MES : AGOSTO</t>
  </si>
  <si>
    <t>AÑO:2026</t>
  </si>
  <si>
    <t>JEFE DE SERVICIO :  Lic. Claudia M. Medina Rodriguez</t>
  </si>
  <si>
    <t>N° C. I.</t>
  </si>
  <si>
    <t xml:space="preserve">  APELLIDO PATERNO</t>
  </si>
  <si>
    <t xml:space="preserve">HORARIO </t>
  </si>
  <si>
    <t xml:space="preserve">HORARIO  </t>
  </si>
  <si>
    <t xml:space="preserve"> CELULAR</t>
  </si>
  <si>
    <t>HORAS</t>
  </si>
  <si>
    <t>TRABAJADAS</t>
  </si>
  <si>
    <t xml:space="preserve">                                                                                                                             TURNO  DIA</t>
  </si>
  <si>
    <t>6229119 S.C</t>
  </si>
  <si>
    <t>Medina</t>
  </si>
  <si>
    <t>Rodriguez</t>
  </si>
  <si>
    <t>Claudia Mayerling</t>
  </si>
  <si>
    <t xml:space="preserve">LICENCIADA EN ENFERMERIA </t>
  </si>
  <si>
    <t>07:00 a.m.</t>
  </si>
  <si>
    <t>13:00 p.m.</t>
  </si>
  <si>
    <t>73662896</t>
  </si>
  <si>
    <t>F</t>
  </si>
  <si>
    <t>6352467 SC</t>
  </si>
  <si>
    <t>Beltran</t>
  </si>
  <si>
    <t>Rojas</t>
  </si>
  <si>
    <t xml:space="preserve">Vania </t>
  </si>
  <si>
    <t>AUXILIAR DE ENFERMERIA</t>
  </si>
  <si>
    <t>73670239</t>
  </si>
  <si>
    <t>6347649 S.C.</t>
  </si>
  <si>
    <t xml:space="preserve">Vargas </t>
  </si>
  <si>
    <t>Olivar</t>
  </si>
  <si>
    <t>Selva</t>
  </si>
  <si>
    <t>74175457</t>
  </si>
  <si>
    <t>3235394 SC</t>
  </si>
  <si>
    <t>Cruz</t>
  </si>
  <si>
    <t>Calla</t>
  </si>
  <si>
    <t>Sarah</t>
  </si>
  <si>
    <t>76670608</t>
  </si>
  <si>
    <t>4942995 LP</t>
  </si>
  <si>
    <t>Flores</t>
  </si>
  <si>
    <t>Rocabado</t>
  </si>
  <si>
    <t>Rienny J.</t>
  </si>
  <si>
    <t>73660749</t>
  </si>
  <si>
    <t>2686992 LP</t>
  </si>
  <si>
    <t>Brañez</t>
  </si>
  <si>
    <t>Uriarte</t>
  </si>
  <si>
    <t>Maria del rosario</t>
  </si>
  <si>
    <t>71046028</t>
  </si>
  <si>
    <t>5841152 S.C.</t>
  </si>
  <si>
    <t>Lozada</t>
  </si>
  <si>
    <t>Carmen</t>
  </si>
  <si>
    <t>13:00:p.m.</t>
  </si>
  <si>
    <t>19:00 pm</t>
  </si>
  <si>
    <t>76363174</t>
  </si>
  <si>
    <t>11338523 S.C.</t>
  </si>
  <si>
    <t>Lino</t>
  </si>
  <si>
    <t>Mole</t>
  </si>
  <si>
    <t xml:space="preserve">Elias Gabriel </t>
  </si>
  <si>
    <t>19:00 p.m.</t>
  </si>
  <si>
    <t>73184763</t>
  </si>
  <si>
    <t>3655708 CH</t>
  </si>
  <si>
    <t>Oro</t>
  </si>
  <si>
    <t>Riguera</t>
  </si>
  <si>
    <t>Patricia</t>
  </si>
  <si>
    <t>70296472</t>
  </si>
  <si>
    <t xml:space="preserve">Mamani </t>
  </si>
  <si>
    <t xml:space="preserve">Serrano </t>
  </si>
  <si>
    <t>Katerine</t>
  </si>
  <si>
    <t>62847162</t>
  </si>
  <si>
    <r>
      <rPr>
        <b/>
        <i/>
        <u/>
        <sz val="11"/>
        <color theme="1"/>
        <rFont val="Calibri"/>
        <family val="2"/>
        <scheme val="minor"/>
      </rPr>
      <t>VACACIONES</t>
    </r>
    <r>
      <rPr>
        <b/>
        <i/>
        <sz val="11"/>
        <color theme="1"/>
        <rFont val="Calibri"/>
        <family val="2"/>
        <scheme val="minor"/>
      </rPr>
      <t>: AUX Selva Vargas Olivar DEL 10 al 28 de Agosto</t>
    </r>
  </si>
  <si>
    <t>AUX. Patricia Oro Riguera DEL 3 al 11 de Agosto</t>
  </si>
  <si>
    <t>SERVICIO:      DILATACION</t>
  </si>
  <si>
    <t>HOSPITAL MUNICIPAL DISTRITAL BAJIO DEL ORIENTE</t>
  </si>
  <si>
    <t xml:space="preserve">       MES :         AGOSTO</t>
  </si>
  <si>
    <t>AÑO:     2026</t>
  </si>
  <si>
    <t xml:space="preserve">                   JEFE DE SERVICIO :          LIC. AMALIA FERNANDEZ</t>
  </si>
  <si>
    <t xml:space="preserve">           CELULAR</t>
  </si>
  <si>
    <t>HRS</t>
  </si>
  <si>
    <t>INGRESO</t>
  </si>
  <si>
    <t>EGRESO</t>
  </si>
  <si>
    <t>TURNOS</t>
  </si>
  <si>
    <t>NRO.</t>
  </si>
  <si>
    <t>HEREDIA</t>
  </si>
  <si>
    <t>SILVIA</t>
  </si>
  <si>
    <t>LIC. EN ENF.</t>
  </si>
  <si>
    <t>07:30:AM</t>
  </si>
  <si>
    <t>13:30PM</t>
  </si>
  <si>
    <t>VACACION</t>
  </si>
  <si>
    <t xml:space="preserve">19: 30 PM </t>
  </si>
  <si>
    <t xml:space="preserve">CASTRO </t>
  </si>
  <si>
    <t xml:space="preserve">GAMARRA </t>
  </si>
  <si>
    <t xml:space="preserve">SUELEN </t>
  </si>
  <si>
    <t>07:30AM</t>
  </si>
  <si>
    <t>19: 30 PM</t>
  </si>
  <si>
    <t>8118034SC.</t>
  </si>
  <si>
    <t>MERUBIA</t>
  </si>
  <si>
    <t>LOPEZ</t>
  </si>
  <si>
    <t>OLGA   A</t>
  </si>
  <si>
    <t>AUX.  DE ENF.</t>
  </si>
  <si>
    <t>07;30 AM</t>
  </si>
  <si>
    <t xml:space="preserve">13: 30 PM </t>
  </si>
  <si>
    <t>6304407SC</t>
  </si>
  <si>
    <t>ZABALA</t>
  </si>
  <si>
    <t>TOLEDO</t>
  </si>
  <si>
    <t>MARIA T.</t>
  </si>
  <si>
    <t>13:30 PM</t>
  </si>
  <si>
    <t>19:30PM</t>
  </si>
  <si>
    <t>3049372 OR</t>
  </si>
  <si>
    <t>ROCHA</t>
  </si>
  <si>
    <t>SARABIA</t>
  </si>
  <si>
    <t>LOURDES R.</t>
  </si>
  <si>
    <t>AUX. DE ENF.</t>
  </si>
  <si>
    <t>6342439SC</t>
  </si>
  <si>
    <t>LAFUENTE</t>
  </si>
  <si>
    <t>ALVARADO</t>
  </si>
  <si>
    <t>ANA</t>
  </si>
  <si>
    <t>13: 30 PM</t>
  </si>
  <si>
    <t>10502806PT.</t>
  </si>
  <si>
    <t>TEOFILO</t>
  </si>
  <si>
    <t>6341050SC,</t>
  </si>
  <si>
    <t xml:space="preserve">MARIA A. </t>
  </si>
  <si>
    <t>19:30 PM</t>
  </si>
  <si>
    <t>7896661CBBA</t>
  </si>
  <si>
    <t>MERIDA</t>
  </si>
  <si>
    <t>ORELLANA</t>
  </si>
  <si>
    <t>ALCIDES</t>
  </si>
  <si>
    <t>6365955SC</t>
  </si>
  <si>
    <t>ROJAS</t>
  </si>
  <si>
    <t>CANDIA</t>
  </si>
  <si>
    <t>ROSY</t>
  </si>
  <si>
    <t>6754518 LP</t>
  </si>
  <si>
    <t>AMPA</t>
  </si>
  <si>
    <t>AMALIA</t>
  </si>
  <si>
    <t>JEFE. EN ENF.</t>
  </si>
  <si>
    <t>11360014SC</t>
  </si>
  <si>
    <t>VASQUEZ</t>
  </si>
  <si>
    <t>ANDREA</t>
  </si>
  <si>
    <t>19;30PM</t>
  </si>
  <si>
    <t>9857616SC.</t>
  </si>
  <si>
    <t>ARUNA</t>
  </si>
  <si>
    <t>GENOVEVA</t>
  </si>
  <si>
    <t>6235572SC</t>
  </si>
  <si>
    <t xml:space="preserve">VALLEJOS </t>
  </si>
  <si>
    <t>SALVATIERRA</t>
  </si>
  <si>
    <t>EDITH</t>
  </si>
  <si>
    <t>AUXI. DE ENF.</t>
  </si>
  <si>
    <t>19 :30 PM</t>
  </si>
  <si>
    <t xml:space="preserve">CAMBIOS DE TURNOS: </t>
  </si>
  <si>
    <t>LIC SUELEN CASTRO - LIC, AMALIA FERNANDEZ Y LIC. ALCIDES MERIDA - LIC.TEOFILO CHOQUE Y LIC SILVIA HEREDIA - LIC, GENOVEVA ROQUE Y AUX.ANDREA LOPEZ - AUX. ROSY ROSY</t>
  </si>
  <si>
    <t xml:space="preserve">                                 LIC. SILVIA HEREDIA Y LIC. SUELEN CASTRO Y AUX ANA LAFUENTE</t>
  </si>
  <si>
    <t xml:space="preserve">  LA FUENTE</t>
  </si>
  <si>
    <t xml:space="preserve"> </t>
  </si>
  <si>
    <t>SERVICIO :    EMERGENCIA</t>
  </si>
  <si>
    <t>JEFE DE SERVICIO: LIC. BERTHA CASTRO CHANA</t>
  </si>
  <si>
    <t>2 0 2 6</t>
  </si>
  <si>
    <t>CASTRO</t>
  </si>
  <si>
    <t>CHANA</t>
  </si>
  <si>
    <t>BERTHA</t>
  </si>
  <si>
    <t>JEFE DE SERVICIO DE EMERGENCIA</t>
  </si>
  <si>
    <t>14:00 p.m.</t>
  </si>
  <si>
    <t>V      A       C        A        C       I      O     N</t>
  </si>
  <si>
    <t>PARAGUAYO</t>
  </si>
  <si>
    <t>WALDO FILI</t>
  </si>
  <si>
    <t>LIC.  ENF. RESPONSABLE DE TURNO</t>
  </si>
  <si>
    <t>13.30 p.m.</t>
  </si>
  <si>
    <t xml:space="preserve">DIAZ </t>
  </si>
  <si>
    <t>ROXANA</t>
  </si>
  <si>
    <t>LIC. ENFER.</t>
  </si>
  <si>
    <t>B            A           J           A                      P        R          E                          N          A           T       A        L</t>
  </si>
  <si>
    <t xml:space="preserve">ROJAS </t>
  </si>
  <si>
    <t>CARBALLO</t>
  </si>
  <si>
    <t>TRINIDAD M</t>
  </si>
  <si>
    <t>AUX.ENFER.</t>
  </si>
  <si>
    <t>6T</t>
  </si>
  <si>
    <t>JUSTINIANO</t>
  </si>
  <si>
    <t xml:space="preserve">ALBOLEDA </t>
  </si>
  <si>
    <t>CLAUDIA A.</t>
  </si>
  <si>
    <t xml:space="preserve">CHOQUE </t>
  </si>
  <si>
    <t>MARTINEZ</t>
  </si>
  <si>
    <t>NELLY</t>
  </si>
  <si>
    <t xml:space="preserve">BERMUDES </t>
  </si>
  <si>
    <t>GUTIERREZ</t>
  </si>
  <si>
    <t>CARLA P.</t>
  </si>
  <si>
    <t xml:space="preserve">LIMPIAS </t>
  </si>
  <si>
    <t>RIVERA</t>
  </si>
  <si>
    <t>JOANA C.</t>
  </si>
  <si>
    <t>19:30 p.m.</t>
  </si>
  <si>
    <t>RODAS</t>
  </si>
  <si>
    <t>ZULEMA L.</t>
  </si>
  <si>
    <t>PERALTA</t>
  </si>
  <si>
    <t>MORON</t>
  </si>
  <si>
    <t>DORI R</t>
  </si>
  <si>
    <t>73698983</t>
  </si>
  <si>
    <t>6M</t>
  </si>
  <si>
    <t>CALATAYUD</t>
  </si>
  <si>
    <t>ZENEIDA</t>
  </si>
  <si>
    <t>VILLARROEL</t>
  </si>
  <si>
    <t>ALVARO R.</t>
  </si>
  <si>
    <t>ARTEAGA</t>
  </si>
  <si>
    <t>YANE</t>
  </si>
  <si>
    <t xml:space="preserve">CALDERON </t>
  </si>
  <si>
    <t>YUCRA</t>
  </si>
  <si>
    <t>CEREZO</t>
  </si>
  <si>
    <t>JONNY</t>
  </si>
  <si>
    <t>LIC.ENFER</t>
  </si>
  <si>
    <t>CABALLERO</t>
  </si>
  <si>
    <t>NELVA LENNY</t>
  </si>
  <si>
    <t>COLOMO</t>
  </si>
  <si>
    <t>BARRIENTOS</t>
  </si>
  <si>
    <t>MARIELA</t>
  </si>
  <si>
    <t>AUX..ENFER.</t>
  </si>
  <si>
    <t xml:space="preserve">SERRUDO </t>
  </si>
  <si>
    <t>TERRAZAS</t>
  </si>
  <si>
    <t>LUCINDA</t>
  </si>
  <si>
    <t>VIDAL</t>
  </si>
  <si>
    <t xml:space="preserve">CACERES </t>
  </si>
  <si>
    <t xml:space="preserve">VARGAS </t>
  </si>
  <si>
    <t>NEISA ILSEN</t>
  </si>
  <si>
    <t xml:space="preserve">JALDIN </t>
  </si>
  <si>
    <t>VEGA</t>
  </si>
  <si>
    <t>SILVIA A.</t>
  </si>
  <si>
    <t xml:space="preserve">ARIAS </t>
  </si>
  <si>
    <t xml:space="preserve">RAMOS </t>
  </si>
  <si>
    <t>ARGENTINA</t>
  </si>
  <si>
    <t>AUX.ENFER</t>
  </si>
  <si>
    <t>YARARI</t>
  </si>
  <si>
    <t>YANIVAR</t>
  </si>
  <si>
    <t>KARINA</t>
  </si>
  <si>
    <t>CHUVE</t>
  </si>
  <si>
    <t>CHUVIRU</t>
  </si>
  <si>
    <t>ELIANA</t>
  </si>
  <si>
    <t>SENZANO</t>
  </si>
  <si>
    <t>LLANOS</t>
  </si>
  <si>
    <t>M.ISABEL</t>
  </si>
  <si>
    <t>ARANCIBIA</t>
  </si>
  <si>
    <t>GONZALES</t>
  </si>
  <si>
    <t>ESPINDOLA</t>
  </si>
  <si>
    <t>DAYANA M.</t>
  </si>
  <si>
    <t xml:space="preserve">GUTIERREZ </t>
  </si>
  <si>
    <t xml:space="preserve">VILLCA </t>
  </si>
  <si>
    <t>EUSEBIA</t>
  </si>
  <si>
    <t>AUX. ENFER.</t>
  </si>
  <si>
    <t>CRUZ</t>
  </si>
  <si>
    <t>JULIA</t>
  </si>
  <si>
    <t>PUPUISIRI</t>
  </si>
  <si>
    <t>GUALASUA</t>
  </si>
  <si>
    <t>EIDY R</t>
  </si>
  <si>
    <t>PEREDO</t>
  </si>
  <si>
    <t>ORDOÑEZ</t>
  </si>
  <si>
    <t>ZUELY J.</t>
  </si>
  <si>
    <t>SEVERICH</t>
  </si>
  <si>
    <t>SUSANA</t>
  </si>
  <si>
    <t>CALLE</t>
  </si>
  <si>
    <t xml:space="preserve">SOTO </t>
  </si>
  <si>
    <t>EMA</t>
  </si>
  <si>
    <t>VILLCA</t>
  </si>
  <si>
    <t>CORCHADO</t>
  </si>
  <si>
    <t>PASCUALITA</t>
  </si>
  <si>
    <t>77374622</t>
  </si>
  <si>
    <t>CRISTINA</t>
  </si>
  <si>
    <t>ARNEZ</t>
  </si>
  <si>
    <t>WILMA</t>
  </si>
  <si>
    <t>ESCOBAR</t>
  </si>
  <si>
    <t>AGREDA</t>
  </si>
  <si>
    <t xml:space="preserve">ENF TRINIDAD ROJAS CAMBIO DE TURNO EL 12 VENDRA EN TURNO TARDE Y CUBRE AUX DORI PERALTA VIENE EN LA MAÑANA </t>
  </si>
  <si>
    <t xml:space="preserve">LIC WALDO PARAGUAYO SALDRA DE VACACIONES EL 1RO DE SEPTIEMBRE COMPLETANDO SUS 10 DIAS DE AGOSTO </t>
  </si>
  <si>
    <t xml:space="preserve">SERVICIO:   GINECOLOGIA-OBSTETRICIA INTERNACION </t>
  </si>
  <si>
    <t xml:space="preserve">                 ROL DE TURNO            DEFINITIVO</t>
  </si>
  <si>
    <t>JEFE DE SERVICIO:   LIC. RAQUEL VEGA ROCHA</t>
  </si>
  <si>
    <t xml:space="preserve">MES: </t>
  </si>
  <si>
    <t>AÑO:  2026</t>
  </si>
  <si>
    <t>HORA  INGRESO</t>
  </si>
  <si>
    <t>HORA SALIDA</t>
  </si>
  <si>
    <t>HR. TRAJ.</t>
  </si>
  <si>
    <t>RAQUEL</t>
  </si>
  <si>
    <t xml:space="preserve">JEFA </t>
  </si>
  <si>
    <t>14: 00 PM</t>
  </si>
  <si>
    <t>URDININEA</t>
  </si>
  <si>
    <t>ALVAREZ</t>
  </si>
  <si>
    <t>YENY</t>
  </si>
  <si>
    <t>LIC. ENF.</t>
  </si>
  <si>
    <t>A</t>
  </si>
  <si>
    <t>C</t>
  </si>
  <si>
    <t>I</t>
  </si>
  <si>
    <t>O</t>
  </si>
  <si>
    <t>N</t>
  </si>
  <si>
    <t>PACO</t>
  </si>
  <si>
    <t>BONIFACIO</t>
  </si>
  <si>
    <t>TERESA</t>
  </si>
  <si>
    <t>LIC.ENF.</t>
  </si>
  <si>
    <t>TITO</t>
  </si>
  <si>
    <t>ARUQUIPA</t>
  </si>
  <si>
    <t xml:space="preserve">ANA L. </t>
  </si>
  <si>
    <t>AUX. ENF.</t>
  </si>
  <si>
    <t xml:space="preserve">                                                                                                                                           la aux. sube al turno tarde a cubrir la vacacion de su colega</t>
  </si>
  <si>
    <t xml:space="preserve">BARBA </t>
  </si>
  <si>
    <t xml:space="preserve">PINTO </t>
  </si>
  <si>
    <t>MARIA F.</t>
  </si>
  <si>
    <t>69067675</t>
  </si>
  <si>
    <t>GARCIA</t>
  </si>
  <si>
    <t xml:space="preserve">MERCADO </t>
  </si>
  <si>
    <t>ROMAN</t>
  </si>
  <si>
    <t>CINTHIA</t>
  </si>
  <si>
    <t>TORRICO</t>
  </si>
  <si>
    <t>VELASQUEZ</t>
  </si>
  <si>
    <t>LAURA C.</t>
  </si>
  <si>
    <t>78105662</t>
  </si>
  <si>
    <t>LA AUXILIAR     VA   A    CUBRIR    LA    VACION   DE   SU   COLEGA</t>
  </si>
  <si>
    <t>CESPEDES</t>
  </si>
  <si>
    <t>SORIOCO</t>
  </si>
  <si>
    <t>RAMONA</t>
  </si>
  <si>
    <t>RAMIREZ</t>
  </si>
  <si>
    <t>BRIGGITTE</t>
  </si>
  <si>
    <t>VALVERDE</t>
  </si>
  <si>
    <t>SAAVEDRA</t>
  </si>
  <si>
    <t>MARLYN</t>
  </si>
  <si>
    <t>74650732</t>
  </si>
  <si>
    <t>MIRANDA</t>
  </si>
  <si>
    <t xml:space="preserve">FLORES </t>
  </si>
  <si>
    <t xml:space="preserve">ALEJANDRA </t>
  </si>
  <si>
    <t>20: 30 PM</t>
  </si>
  <si>
    <t>NOGALES</t>
  </si>
  <si>
    <t>70082854</t>
  </si>
  <si>
    <t>MORALES</t>
  </si>
  <si>
    <t>SANCHEZ</t>
  </si>
  <si>
    <t xml:space="preserve">YOLANDA </t>
  </si>
  <si>
    <t>70888904</t>
  </si>
  <si>
    <t xml:space="preserve">LEON </t>
  </si>
  <si>
    <t>BARJA</t>
  </si>
  <si>
    <t>REYNA</t>
  </si>
  <si>
    <t>FLORA</t>
  </si>
  <si>
    <t>79001635</t>
  </si>
  <si>
    <t>GALVIS</t>
  </si>
  <si>
    <t>YANETH</t>
  </si>
  <si>
    <t>MILAN</t>
  </si>
  <si>
    <t>SONIA</t>
  </si>
  <si>
    <t>79042028</t>
  </si>
  <si>
    <t>CONDORI</t>
  </si>
  <si>
    <t>PADILLA</t>
  </si>
  <si>
    <t>LEIDY L.</t>
  </si>
  <si>
    <t>68847986</t>
  </si>
  <si>
    <t>MOLINA</t>
  </si>
  <si>
    <t>AIDA</t>
  </si>
  <si>
    <t>77601360</t>
  </si>
  <si>
    <t>MATA</t>
  </si>
  <si>
    <t>JOSE LUIS</t>
  </si>
  <si>
    <t>70159185</t>
  </si>
  <si>
    <t>OLMOS</t>
  </si>
  <si>
    <t>SEAS</t>
  </si>
  <si>
    <t>MARICELA</t>
  </si>
  <si>
    <t>RICALDEZ</t>
  </si>
  <si>
    <t>IRMA</t>
  </si>
  <si>
    <t>DEICY</t>
  </si>
  <si>
    <t>VICENTE</t>
  </si>
  <si>
    <t>VERA</t>
  </si>
  <si>
    <t xml:space="preserve">FELICIDAD </t>
  </si>
  <si>
    <t xml:space="preserve">HORA DE LACTANCIA </t>
  </si>
  <si>
    <t>AUX. ALEJANDRA, AUX. SILVIA Y LIC. YENY EL CUAL TERMINA SU HORA DE LACTANCIA EL 5 DE AGOSTO Y LO TOMARA A LA SALIDA ENTRA A LAS 07: 30 AM Y SALE A LAS 12:30 PM</t>
  </si>
  <si>
    <t xml:space="preserve">CAMBIOS DE  TURNO AUX.  </t>
  </si>
  <si>
    <t>CAMBIOS DE TURNO  LIC.</t>
  </si>
  <si>
    <t xml:space="preserve">VACACION LIC.: </t>
  </si>
  <si>
    <t>LIC. YENY URDININEA</t>
  </si>
  <si>
    <t xml:space="preserve">VACACION AUX.: </t>
  </si>
  <si>
    <t>AUX.LAURA CAROLINA TORRICO</t>
  </si>
  <si>
    <t>SERVICIO DE HEMODIALISIS</t>
  </si>
  <si>
    <t>JEFE DE SERVICIO: MSC. XIMENA UGALDE BARRIENTOS</t>
  </si>
  <si>
    <t>TURNO MAÑANA</t>
  </si>
  <si>
    <t>HORAS TRABAJADAS</t>
  </si>
  <si>
    <t>PRESONAL ASIGNADO</t>
  </si>
  <si>
    <t>CONTACTO</t>
  </si>
  <si>
    <t>NOMBRE</t>
  </si>
  <si>
    <t>DOCUMENTO IDENTIDAD</t>
  </si>
  <si>
    <t>SALIDDA</t>
  </si>
  <si>
    <t xml:space="preserve">UGALDE </t>
  </si>
  <si>
    <t>XIMENA</t>
  </si>
  <si>
    <t>5559683 PT</t>
  </si>
  <si>
    <t xml:space="preserve">J EFE
MSC..  ENF. HEMODIALISIS </t>
  </si>
  <si>
    <t>13:30 pm</t>
  </si>
  <si>
    <t xml:space="preserve">TORRICO </t>
  </si>
  <si>
    <t>YESSICA R.</t>
  </si>
  <si>
    <t>5756342 SC</t>
  </si>
  <si>
    <t xml:space="preserve">LIC. ENF. HEMODIALISIS </t>
  </si>
  <si>
    <t>LIZARRAGA</t>
  </si>
  <si>
    <t>ARUMBACHA</t>
  </si>
  <si>
    <t>SHIRLEY</t>
  </si>
  <si>
    <t>6351678 SC</t>
  </si>
  <si>
    <t>T</t>
  </si>
  <si>
    <t>AIDA LUZ</t>
  </si>
  <si>
    <t>6299496 SC</t>
  </si>
  <si>
    <t xml:space="preserve">MSC. ENF. HEMODIALISIS </t>
  </si>
  <si>
    <t>13:00 pm</t>
  </si>
  <si>
    <t>NIEVES LUISA</t>
  </si>
  <si>
    <t>4065960 OR</t>
  </si>
  <si>
    <t>TURNO TARDE</t>
  </si>
  <si>
    <t>SILVIA EUGENIA</t>
  </si>
  <si>
    <t>6259824 SC</t>
  </si>
  <si>
    <t>19:30 pm.</t>
  </si>
  <si>
    <t xml:space="preserve">GONZALES </t>
  </si>
  <si>
    <t>ZARATE</t>
  </si>
  <si>
    <t>ROSA</t>
  </si>
  <si>
    <t>7796463 SC</t>
  </si>
  <si>
    <t xml:space="preserve">MAQUINA </t>
  </si>
  <si>
    <t>MARILUZ</t>
  </si>
  <si>
    <t>5767485 OR</t>
  </si>
  <si>
    <t xml:space="preserve">NINA </t>
  </si>
  <si>
    <t xml:space="preserve">VELIZ </t>
  </si>
  <si>
    <t>MIRIAM NOEMI</t>
  </si>
  <si>
    <t>6380398 SC</t>
  </si>
  <si>
    <t>JOSEFF</t>
  </si>
  <si>
    <t>LUCIA</t>
  </si>
  <si>
    <t>CAMILA KARINA</t>
  </si>
  <si>
    <t>4695391 SC</t>
  </si>
  <si>
    <t xml:space="preserve">AUX. ENF. HEMODIALISIS </t>
  </si>
  <si>
    <t>TURNO FIN DE SEMANA</t>
  </si>
  <si>
    <t xml:space="preserve">TORREZ </t>
  </si>
  <si>
    <t xml:space="preserve">APAZA </t>
  </si>
  <si>
    <t>IVETTE  NOHEMI</t>
  </si>
  <si>
    <t>6492299 CB</t>
  </si>
  <si>
    <t xml:space="preserve"> MSC..  ENF. HEMODIALISIS </t>
  </si>
  <si>
    <t xml:space="preserve">REYNAGA </t>
  </si>
  <si>
    <t xml:space="preserve">PADILLA </t>
  </si>
  <si>
    <t xml:space="preserve">TANIA </t>
  </si>
  <si>
    <t>6625455 PT</t>
  </si>
  <si>
    <t>VINACHA</t>
  </si>
  <si>
    <t>NATI BELEN</t>
  </si>
  <si>
    <t>12535537 SC</t>
  </si>
  <si>
    <t xml:space="preserve">AUX. ENFR. HEMODIALISIS </t>
  </si>
  <si>
    <t xml:space="preserve">Observaciones:  
</t>
  </si>
  <si>
    <t xml:space="preserve">F = FERIADO </t>
  </si>
  <si>
    <t>V = VACACION</t>
  </si>
  <si>
    <t>B = BAJA MEDICA</t>
  </si>
  <si>
    <t>JEFATURA DE ENFERMERIA H.M.B.O.</t>
  </si>
  <si>
    <t>MES: AGOSTO</t>
  </si>
  <si>
    <t>HORARIO ENTRADA</t>
  </si>
  <si>
    <t>HORARIO SALIDA</t>
  </si>
  <si>
    <t>TRAB</t>
  </si>
  <si>
    <t xml:space="preserve">ENCINAS </t>
  </si>
  <si>
    <t xml:space="preserve">ROSITA </t>
  </si>
  <si>
    <t xml:space="preserve">JEFE DE ENFERMERIA </t>
  </si>
  <si>
    <t>13:30 p.m.</t>
  </si>
  <si>
    <t>HURTADO</t>
  </si>
  <si>
    <t>JORGE LUIS</t>
  </si>
  <si>
    <t>SECRETARIO ADM  DE JEF. DE ENF.</t>
  </si>
  <si>
    <t>ORTUÑO</t>
  </si>
  <si>
    <t>COVARRUBIAS</t>
  </si>
  <si>
    <t>MARIA ELSA</t>
  </si>
  <si>
    <t>SUPERVISORA ENFERMERIA</t>
  </si>
  <si>
    <t>13:30 P. m.</t>
  </si>
  <si>
    <t>CERROGRANDE</t>
  </si>
  <si>
    <t>EVA</t>
  </si>
  <si>
    <t>19:30 p m.</t>
  </si>
  <si>
    <t>07:30 a.m.</t>
  </si>
  <si>
    <t xml:space="preserve">GRANDE </t>
  </si>
  <si>
    <t>JACKELIN</t>
  </si>
  <si>
    <t>LISETH</t>
  </si>
  <si>
    <t>ROMERO</t>
  </si>
  <si>
    <t>ROSARIO DEL CARMEN</t>
  </si>
  <si>
    <t>SERVICIO: MEDICINA INTERNA</t>
  </si>
  <si>
    <t>MES: AGOSTO      AÑO: 2026</t>
  </si>
  <si>
    <t xml:space="preserve">JEFE DE SERVICIO: LIC SONIA PARRAGA ALVAREZ </t>
  </si>
  <si>
    <t>HORARIO ENTRDA</t>
  </si>
  <si>
    <t xml:space="preserve">HORARIO SALIDA </t>
  </si>
  <si>
    <t>TRABAJADA</t>
  </si>
  <si>
    <t>6880594 LP.</t>
  </si>
  <si>
    <t>PARRAGA</t>
  </si>
  <si>
    <t>JEFE DE MEDICINA INTERNA</t>
  </si>
  <si>
    <t>14:00 P.M.</t>
  </si>
  <si>
    <t>67327449</t>
  </si>
  <si>
    <t>7849833 SC.</t>
  </si>
  <si>
    <t xml:space="preserve">CALLEJAS </t>
  </si>
  <si>
    <t>DALCY YOBANA</t>
  </si>
  <si>
    <t>LIC. ENFER. MEDICINA INTERNA</t>
  </si>
  <si>
    <t>07:30 A.M.</t>
  </si>
  <si>
    <t>13:30 P.M.</t>
  </si>
  <si>
    <t>70849093</t>
  </si>
  <si>
    <t xml:space="preserve">VACACIONES </t>
  </si>
  <si>
    <t>9834239 SC</t>
  </si>
  <si>
    <t xml:space="preserve">ZARATE </t>
  </si>
  <si>
    <t>SOTO</t>
  </si>
  <si>
    <t xml:space="preserve">LIC. ENFER. MEDICINA INTERNA </t>
  </si>
  <si>
    <t>74922172</t>
  </si>
  <si>
    <t>8933203 SC</t>
  </si>
  <si>
    <t>ALANIS</t>
  </si>
  <si>
    <t>VERONICA</t>
  </si>
  <si>
    <t>LIC. ENFER. MEDICINA INTERNA ENCARGADA  DEL TURNO</t>
  </si>
  <si>
    <t>76681864</t>
  </si>
  <si>
    <t>7805192 SC</t>
  </si>
  <si>
    <t>VILLALBA</t>
  </si>
  <si>
    <t>EVELIN</t>
  </si>
  <si>
    <t>AUXILIAR MEDICINA INTERNA</t>
  </si>
  <si>
    <t>76690355</t>
  </si>
  <si>
    <t>7687117 SC</t>
  </si>
  <si>
    <t>RIVERO</t>
  </si>
  <si>
    <t>SUAREZ</t>
  </si>
  <si>
    <t>GLADYS ERICKA</t>
  </si>
  <si>
    <t>67826010</t>
  </si>
  <si>
    <t>5425703 SC</t>
  </si>
  <si>
    <t>BEYUMA</t>
  </si>
  <si>
    <t>CARMELA MISHELY</t>
  </si>
  <si>
    <t>76620017</t>
  </si>
  <si>
    <t>6234811 Sc</t>
  </si>
  <si>
    <t xml:space="preserve">MACHICADO </t>
  </si>
  <si>
    <t>CUELLAR</t>
  </si>
  <si>
    <t xml:space="preserve">JESSICA LANNY </t>
  </si>
  <si>
    <t>19:30 P.M.</t>
  </si>
  <si>
    <t>77678549</t>
  </si>
  <si>
    <t>6369051 Sc.</t>
  </si>
  <si>
    <t xml:space="preserve">GUZMAN </t>
  </si>
  <si>
    <t xml:space="preserve">FAREL </t>
  </si>
  <si>
    <t xml:space="preserve">ARLITA </t>
  </si>
  <si>
    <t>71351699</t>
  </si>
  <si>
    <t>8560136 Pt.</t>
  </si>
  <si>
    <t xml:space="preserve">COLQUE </t>
  </si>
  <si>
    <t>ALACORI</t>
  </si>
  <si>
    <t xml:space="preserve">DANITZA </t>
  </si>
  <si>
    <t>67826011</t>
  </si>
  <si>
    <t>5872513 SC</t>
  </si>
  <si>
    <t>ARROYO</t>
  </si>
  <si>
    <t>BONILLA</t>
  </si>
  <si>
    <t>JUANA</t>
  </si>
  <si>
    <t>70201615</t>
  </si>
  <si>
    <t>6189761  LPZ</t>
  </si>
  <si>
    <t>REVOSO</t>
  </si>
  <si>
    <t>ERIKA</t>
  </si>
  <si>
    <t>78049455</t>
  </si>
  <si>
    <t>3825936 SC</t>
  </si>
  <si>
    <t>ZURITA</t>
  </si>
  <si>
    <t>MANSILLA</t>
  </si>
  <si>
    <t>NIMIA</t>
  </si>
  <si>
    <t>73197495</t>
  </si>
  <si>
    <t>8560255 PO.</t>
  </si>
  <si>
    <t xml:space="preserve">NEGRETTY </t>
  </si>
  <si>
    <t>GALLEGO</t>
  </si>
  <si>
    <t>MARIA GIOVANNA</t>
  </si>
  <si>
    <t>07.30 AM</t>
  </si>
  <si>
    <t>73894888</t>
  </si>
  <si>
    <t xml:space="preserve">7164464 Tj </t>
  </si>
  <si>
    <t>TORREZ</t>
  </si>
  <si>
    <t xml:space="preserve">ALCIRA </t>
  </si>
  <si>
    <t>76651781</t>
  </si>
  <si>
    <t>7774978  SC</t>
  </si>
  <si>
    <t>VELEZ</t>
  </si>
  <si>
    <t>67726891</t>
  </si>
  <si>
    <t>8003411 CBBA.</t>
  </si>
  <si>
    <t>FERMIN</t>
  </si>
  <si>
    <t>RIVAS</t>
  </si>
  <si>
    <t>ARMINDA</t>
  </si>
  <si>
    <t>75391079</t>
  </si>
  <si>
    <t>5398316 Sc.</t>
  </si>
  <si>
    <t>CACERES</t>
  </si>
  <si>
    <t>BETTY</t>
  </si>
  <si>
    <t>77165627</t>
  </si>
  <si>
    <t>5853318 Sc.</t>
  </si>
  <si>
    <t xml:space="preserve">CONDORI </t>
  </si>
  <si>
    <t>CORO</t>
  </si>
  <si>
    <t>NOEMI JHENY</t>
  </si>
  <si>
    <t>68915198</t>
  </si>
  <si>
    <t>6341461 SC</t>
  </si>
  <si>
    <t>SILVA</t>
  </si>
  <si>
    <t>LANGUIDEY</t>
  </si>
  <si>
    <t xml:space="preserve">DILA ANTONIA </t>
  </si>
  <si>
    <t>72607610</t>
  </si>
  <si>
    <t>11338367 SC</t>
  </si>
  <si>
    <t xml:space="preserve">KARLA XIMENA </t>
  </si>
  <si>
    <t>75077095</t>
  </si>
  <si>
    <t>6373062 SC.</t>
  </si>
  <si>
    <t>ESTRADA</t>
  </si>
  <si>
    <t>65011915</t>
  </si>
  <si>
    <t>6205747 Sc.</t>
  </si>
  <si>
    <t xml:space="preserve">QUISPE </t>
  </si>
  <si>
    <t>ESTELA YOLA</t>
  </si>
  <si>
    <t>70877107</t>
  </si>
  <si>
    <t>8217805 SC</t>
  </si>
  <si>
    <t>MENDEZ</t>
  </si>
  <si>
    <t xml:space="preserve">GUILLERMO FERNANDO </t>
  </si>
  <si>
    <t>75028640</t>
  </si>
  <si>
    <t>9794573 sc.</t>
  </si>
  <si>
    <t>SEÑA</t>
  </si>
  <si>
    <t>SINDY</t>
  </si>
  <si>
    <t>77886169</t>
  </si>
  <si>
    <t>7525358 Ch.</t>
  </si>
  <si>
    <t>SOLIS</t>
  </si>
  <si>
    <t>DILMA</t>
  </si>
  <si>
    <t>72891583</t>
  </si>
  <si>
    <t>8109725 SC</t>
  </si>
  <si>
    <t xml:space="preserve">MARTINEZ </t>
  </si>
  <si>
    <t xml:space="preserve">NELSON SAMUEL </t>
  </si>
  <si>
    <t>78166001</t>
  </si>
  <si>
    <t>7849740 SC</t>
  </si>
  <si>
    <t xml:space="preserve">HERRERA </t>
  </si>
  <si>
    <t xml:space="preserve">QUINTANA </t>
  </si>
  <si>
    <t xml:space="preserve">CECILIA TRINIDAD </t>
  </si>
  <si>
    <t>75655143</t>
  </si>
  <si>
    <t>9633069 SC</t>
  </si>
  <si>
    <t>JIMENEZ</t>
  </si>
  <si>
    <t>MARISELA</t>
  </si>
  <si>
    <t>72666207</t>
  </si>
  <si>
    <t xml:space="preserve">LIC. ARLITA GUZMAN FAREL   CON VACACIONES  DESDE FECHA 18  HASTA 31  DE AGOSTO   2026 </t>
  </si>
  <si>
    <t xml:space="preserve">LIC. DALCY YOBANA CALLEJAS MAMANI   CON VACACIONES  DESDE FECHA 18  HASTA 31 DE AGOSTO   2026 </t>
  </si>
  <si>
    <t xml:space="preserve">AUXILIAR   ERIKA REVOSO MAMANI CON VACACIONES  DESDE FECHA 10  HASTA 21  DE AGOSTO   2026 </t>
  </si>
  <si>
    <t>SERVICIO: NEONATOLOGIA</t>
  </si>
  <si>
    <t>MES : AGOSTO    AÑO:2026</t>
  </si>
  <si>
    <t xml:space="preserve">       ROL DE TURNO  JEFE DE SERVICIO : LIC. SHIRLEY K. FUENTES FERNANDEZ</t>
  </si>
  <si>
    <t>NRO C.I.</t>
  </si>
  <si>
    <t xml:space="preserve"> APELLIDO PATERNO</t>
  </si>
  <si>
    <t>7678630 SC</t>
  </si>
  <si>
    <t>FUENTES</t>
  </si>
  <si>
    <t>LIC. SHIRLEY K.</t>
  </si>
  <si>
    <t>13:30 HRS.</t>
  </si>
  <si>
    <t>7844928 SC</t>
  </si>
  <si>
    <t xml:space="preserve">VACA </t>
  </si>
  <si>
    <t>MAYUCO</t>
  </si>
  <si>
    <t xml:space="preserve">LIC. LEIDY </t>
  </si>
  <si>
    <t>LIC. ENC. TURNO - ENC. DOCENCIA</t>
  </si>
  <si>
    <t>5743700 OR.</t>
  </si>
  <si>
    <t>MELEAN</t>
  </si>
  <si>
    <t>CARREÑO</t>
  </si>
  <si>
    <t>LIC. MARCELA RAQUEL</t>
  </si>
  <si>
    <t>CARRO DE PARO</t>
  </si>
  <si>
    <t>12598269 S.C.</t>
  </si>
  <si>
    <t xml:space="preserve">ARTEAGA </t>
  </si>
  <si>
    <t xml:space="preserve">LIC. KELIBETH </t>
  </si>
  <si>
    <t>EQUIPOS</t>
  </si>
  <si>
    <t>V  A  C  A  C  I  O  N  E  S</t>
  </si>
  <si>
    <t>5756776 0R</t>
  </si>
  <si>
    <t>LIC. SILVIA S.</t>
  </si>
  <si>
    <t>19:30 HRS.</t>
  </si>
  <si>
    <t>4635444 SC</t>
  </si>
  <si>
    <t>QUIROZ</t>
  </si>
  <si>
    <t>LIC.YOVANNA E.</t>
  </si>
  <si>
    <t>8191371 SC</t>
  </si>
  <si>
    <t>CANAZA</t>
  </si>
  <si>
    <t>CHAMBI</t>
  </si>
  <si>
    <t>LIC.MARINA</t>
  </si>
  <si>
    <t>LACTARIO</t>
  </si>
  <si>
    <t xml:space="preserve"> 12562286 TJ</t>
  </si>
  <si>
    <t xml:space="preserve">CASTILLO </t>
  </si>
  <si>
    <t>URGEL</t>
  </si>
  <si>
    <t>AUX. KARINA YEXI</t>
  </si>
  <si>
    <t>6533409 CBBA</t>
  </si>
  <si>
    <t xml:space="preserve">RODRIGUEZ </t>
  </si>
  <si>
    <t>LIC. LISBETH</t>
  </si>
  <si>
    <t>9792007SC</t>
  </si>
  <si>
    <t>SORAIDE</t>
  </si>
  <si>
    <t>TEJERINA</t>
  </si>
  <si>
    <t>LIC. NOEMI E.</t>
  </si>
  <si>
    <t>6329760 SC.</t>
  </si>
  <si>
    <t xml:space="preserve">CARRASCO </t>
  </si>
  <si>
    <t>RAMOS</t>
  </si>
  <si>
    <t>LIC. RUTH</t>
  </si>
  <si>
    <t>06:30 A.M.</t>
  </si>
  <si>
    <t>13848192 LP</t>
  </si>
  <si>
    <t>FRANCO</t>
  </si>
  <si>
    <t>PARDO</t>
  </si>
  <si>
    <t>AUX:RAY ISELA</t>
  </si>
  <si>
    <t>7748566 sc</t>
  </si>
  <si>
    <t xml:space="preserve">LINO </t>
  </si>
  <si>
    <t>MEDINA</t>
  </si>
  <si>
    <t>LIC. ROXANA</t>
  </si>
  <si>
    <t>6285354 SC</t>
  </si>
  <si>
    <t>MOJICA</t>
  </si>
  <si>
    <t>LIC. MARITZA</t>
  </si>
  <si>
    <t>6221997  SC</t>
  </si>
  <si>
    <t>CARRIZALES</t>
  </si>
  <si>
    <t>AUX. ESTHER</t>
  </si>
  <si>
    <t>7113984 TJ.</t>
  </si>
  <si>
    <t>BLANCO</t>
  </si>
  <si>
    <t>LIC. MARCELA</t>
  </si>
  <si>
    <t>ATALA</t>
  </si>
  <si>
    <t xml:space="preserve">LIC. ELIANA </t>
  </si>
  <si>
    <t>8217672  SC</t>
  </si>
  <si>
    <t>AZURDUY</t>
  </si>
  <si>
    <t>LIC.DANIA R.</t>
  </si>
  <si>
    <t>7477260 CH</t>
  </si>
  <si>
    <t>HINOJOSA</t>
  </si>
  <si>
    <t>SEJAS</t>
  </si>
  <si>
    <t>11385546SC</t>
  </si>
  <si>
    <t xml:space="preserve">CASTELLON </t>
  </si>
  <si>
    <t>CAMACHO</t>
  </si>
  <si>
    <t>LIC VIANCA</t>
  </si>
  <si>
    <t xml:space="preserve">V  A  C  A  C  I  O  N  E  S </t>
  </si>
  <si>
    <t>5640334 ch</t>
  </si>
  <si>
    <t xml:space="preserve"> REJAS  </t>
  </si>
  <si>
    <t>LIC. LOURDES</t>
  </si>
  <si>
    <t>07:30 HRS.</t>
  </si>
  <si>
    <t>6597013 PT</t>
  </si>
  <si>
    <t>MITA</t>
  </si>
  <si>
    <t>CHIRI</t>
  </si>
  <si>
    <t>LIC. ELVIRA</t>
  </si>
  <si>
    <t>5560415 PT.</t>
  </si>
  <si>
    <t>LIC. EUSEBIA</t>
  </si>
  <si>
    <t>8253429 CBBA</t>
  </si>
  <si>
    <t>DIAZ</t>
  </si>
  <si>
    <t>ARCE</t>
  </si>
  <si>
    <t xml:space="preserve">AUX. FILOMENA </t>
  </si>
  <si>
    <t>LIC. RUTH CARRASCO HORA DE LACTANCIA A LA SALIDA  DEL TURNO</t>
  </si>
  <si>
    <t>LIC. RAQUEL ZARATE AZURDUY  HORA DE LACTANCIA A LA SALIDA  DEL TURNO</t>
  </si>
  <si>
    <t>LIC. MARITZA MOJICA (VACACIONES DE 10 DIAS HABILES EN FECHA (,17,20,23,26,29 DE AGOSTO)</t>
  </si>
  <si>
    <t>LIC. VIANCACASTELLON CAMACHO (VACACIONES DE 10 DIAS HABILES EN FECHA: 3,6,9,12 Y 15 DE AGOSTO)</t>
  </si>
  <si>
    <t>LIC. KELLYBETH VACACIONES DESDE EL 18 DE AGOSTO HASTA EL 31 DE AGOSTO (10 DIAS HABILES)</t>
  </si>
  <si>
    <t>PEDIATRIA</t>
  </si>
  <si>
    <t xml:space="preserve">AGOSTO </t>
  </si>
  <si>
    <t>AÑO 2026</t>
  </si>
  <si>
    <t xml:space="preserve">ROL DE TURNO </t>
  </si>
  <si>
    <t>JEFE DE SERVICIO:  LIC. MARIA ELENA OCHOA</t>
  </si>
  <si>
    <t>CI</t>
  </si>
  <si>
    <t>APELLIDO  MATERNO</t>
  </si>
  <si>
    <t>OCHOA</t>
  </si>
  <si>
    <t>MARIA ELENA</t>
  </si>
  <si>
    <t>JEFE DE SERV.</t>
  </si>
  <si>
    <t>CHUNGARA</t>
  </si>
  <si>
    <t>BARRANCOS</t>
  </si>
  <si>
    <t>MARIA DEL CARMEN</t>
  </si>
  <si>
    <t>ACEITUNA</t>
  </si>
  <si>
    <t>PONCE</t>
  </si>
  <si>
    <t>CELIA</t>
  </si>
  <si>
    <t>LIC . ENF.</t>
  </si>
  <si>
    <t>07.30</t>
  </si>
  <si>
    <t>13.30</t>
  </si>
  <si>
    <t>LEIDY ROSSY</t>
  </si>
  <si>
    <t>AUX.ENF.</t>
  </si>
  <si>
    <t>IPORO</t>
  </si>
  <si>
    <t>GUDELINA</t>
  </si>
  <si>
    <t>19.30</t>
  </si>
  <si>
    <t>CHACON</t>
  </si>
  <si>
    <t>VENEGAS</t>
  </si>
  <si>
    <t>MARIA LUZ</t>
  </si>
  <si>
    <t xml:space="preserve">ISABEL ROSARIO </t>
  </si>
  <si>
    <t>HERRERA</t>
  </si>
  <si>
    <t>JENNY ELIZABETH</t>
  </si>
  <si>
    <t xml:space="preserve">MIRIAM S.     </t>
  </si>
  <si>
    <t>CLAROS</t>
  </si>
  <si>
    <t xml:space="preserve">GALLARDO </t>
  </si>
  <si>
    <t>LILIANA H</t>
  </si>
  <si>
    <t>NINA</t>
  </si>
  <si>
    <t>BENITA</t>
  </si>
  <si>
    <t xml:space="preserve">   </t>
  </si>
  <si>
    <t xml:space="preserve">ORMACHEA </t>
  </si>
  <si>
    <t xml:space="preserve">NEIDA </t>
  </si>
  <si>
    <t>MONTES</t>
  </si>
  <si>
    <t>APAZA</t>
  </si>
  <si>
    <t>EMMA</t>
  </si>
  <si>
    <t>144</t>
  </si>
  <si>
    <t xml:space="preserve">CAMBIO DE TURNO </t>
  </si>
  <si>
    <t xml:space="preserve"> LIC. MARIA ELENA OCHOA (03/08/26) HASTA (18/08/26)</t>
  </si>
  <si>
    <t>AUX. NEIDA ORMACHEA (07/08/26)</t>
  </si>
  <si>
    <t>LIC. CELIA ACEITUNA PONCE (17/08/26) HASTA (28/08/26)</t>
  </si>
  <si>
    <t>AUX. JENNY FLORES HERRERA (15/08/26)</t>
  </si>
  <si>
    <t xml:space="preserve"> AUX. NEIDA ORMACHEA (18/08/26) HASTA (31/08/26)</t>
  </si>
  <si>
    <t>SERVICIO:</t>
  </si>
  <si>
    <t xml:space="preserve"> QUIROFANO</t>
  </si>
  <si>
    <t>ROL DE TURNO AGOSTO</t>
  </si>
  <si>
    <t xml:space="preserve">MES: AGOSTO          AÑO: </t>
  </si>
  <si>
    <t>JEFE DE SERVICO: LIC. CAMILA FANOLA SANCHEZ</t>
  </si>
  <si>
    <t>N°</t>
  </si>
  <si>
    <t xml:space="preserve">HORARIO ENTRADA </t>
  </si>
  <si>
    <t xml:space="preserve">HORARIO SALIDA  </t>
  </si>
  <si>
    <t>6300471  SC</t>
  </si>
  <si>
    <t>FANOLA</t>
  </si>
  <si>
    <t>CAMILA</t>
  </si>
  <si>
    <t>JEFA DE QUIROFANO</t>
  </si>
  <si>
    <t>14:00 p.m</t>
  </si>
  <si>
    <t>8939034 SC</t>
  </si>
  <si>
    <t>BARRERA</t>
  </si>
  <si>
    <t>CHURA</t>
  </si>
  <si>
    <t xml:space="preserve">GABRIELA </t>
  </si>
  <si>
    <t xml:space="preserve">SECRETARIA ADMINISTRATIVO </t>
  </si>
  <si>
    <t>69126639</t>
  </si>
  <si>
    <t>6227184 SC.</t>
  </si>
  <si>
    <t>CUAQUIRA</t>
  </si>
  <si>
    <t>AGUAYO</t>
  </si>
  <si>
    <t>HILARIA</t>
  </si>
  <si>
    <t xml:space="preserve">LIC. ENF. QUIROFANO </t>
  </si>
  <si>
    <t>6311655 SC</t>
  </si>
  <si>
    <t xml:space="preserve">MORON </t>
  </si>
  <si>
    <t>CABA</t>
  </si>
  <si>
    <t>INSTRUMENTADORA</t>
  </si>
  <si>
    <t>70968938</t>
  </si>
  <si>
    <t>6364084 SC</t>
  </si>
  <si>
    <t>KELLY</t>
  </si>
  <si>
    <t>72668393</t>
  </si>
  <si>
    <t>7679351 SC</t>
  </si>
  <si>
    <t>TELLEZ</t>
  </si>
  <si>
    <t>VACA</t>
  </si>
  <si>
    <t>INGRID VANESSA</t>
  </si>
  <si>
    <t>78595305</t>
  </si>
  <si>
    <t>3273735 SC</t>
  </si>
  <si>
    <t xml:space="preserve">MENDEZ </t>
  </si>
  <si>
    <t>MARISOL</t>
  </si>
  <si>
    <t>70013955</t>
  </si>
  <si>
    <t>7675024 SC</t>
  </si>
  <si>
    <t>SHIRLEY NINOSHKA</t>
  </si>
  <si>
    <t>67774188</t>
  </si>
  <si>
    <t xml:space="preserve">MARILEY </t>
  </si>
  <si>
    <t>ESTERILIZACION TURNO MAÑANA</t>
  </si>
  <si>
    <t>8985622 SC</t>
  </si>
  <si>
    <t>LIDT</t>
  </si>
  <si>
    <t>WENDY YESSENIA</t>
  </si>
  <si>
    <t>6223585 SC</t>
  </si>
  <si>
    <t>FANNY</t>
  </si>
  <si>
    <t>AUXILIAR DE ENF.</t>
  </si>
  <si>
    <t>7115720 TJ</t>
  </si>
  <si>
    <t>SANDOVAL</t>
  </si>
  <si>
    <t xml:space="preserve">GALARZA </t>
  </si>
  <si>
    <t>LAURY GABRIELA</t>
  </si>
  <si>
    <t>70096950</t>
  </si>
  <si>
    <t>CIRUGIA AMBULATORIA + ESTERILIZACION TURNO MAÑANA</t>
  </si>
  <si>
    <t>6304429 SC</t>
  </si>
  <si>
    <t>CASTILLO</t>
  </si>
  <si>
    <t>LUZ</t>
  </si>
  <si>
    <t>72157938</t>
  </si>
  <si>
    <t>07:00 a.m</t>
  </si>
  <si>
    <t>6746041 LP</t>
  </si>
  <si>
    <t>GUARACHI</t>
  </si>
  <si>
    <t>RUBEN  ALCIDES</t>
  </si>
  <si>
    <t>76368383</t>
  </si>
  <si>
    <t>19:30 pm</t>
  </si>
  <si>
    <t>4018662 PT</t>
  </si>
  <si>
    <t>EYZAGUIRRE</t>
  </si>
  <si>
    <t>MILDRED MARIA</t>
  </si>
  <si>
    <t>78041379</t>
  </si>
  <si>
    <t>6205092 SC</t>
  </si>
  <si>
    <t>PEREIRA</t>
  </si>
  <si>
    <t>ANA PAOLA</t>
  </si>
  <si>
    <t>75745441</t>
  </si>
  <si>
    <t>8163018 SC</t>
  </si>
  <si>
    <t>CASTEDO</t>
  </si>
  <si>
    <t>72667666</t>
  </si>
  <si>
    <t>8050814 CBBA</t>
  </si>
  <si>
    <t>URIONA</t>
  </si>
  <si>
    <t>DORIS</t>
  </si>
  <si>
    <t>74371691</t>
  </si>
  <si>
    <t>7847902 SC</t>
  </si>
  <si>
    <t>ALPIRE</t>
  </si>
  <si>
    <t>ANEL</t>
  </si>
  <si>
    <t>77397787</t>
  </si>
  <si>
    <t>9511858 CBBA</t>
  </si>
  <si>
    <t>GERONIMO</t>
  </si>
  <si>
    <t>MARIA GISELA</t>
  </si>
  <si>
    <t>70035723</t>
  </si>
  <si>
    <t>ESTERILIZACION TURNO TARDE</t>
  </si>
  <si>
    <t>12385003 SC</t>
  </si>
  <si>
    <t>JALDIN</t>
  </si>
  <si>
    <t>JOSSELYNE</t>
  </si>
  <si>
    <t>75624573</t>
  </si>
  <si>
    <t>1062143-1O CH</t>
  </si>
  <si>
    <t>MATILDE</t>
  </si>
  <si>
    <t>77064900</t>
  </si>
  <si>
    <t>13704716 SC</t>
  </si>
  <si>
    <t>ARENAS</t>
  </si>
  <si>
    <t>ANGELA ALEXANDRA</t>
  </si>
  <si>
    <t>77331332</t>
  </si>
  <si>
    <t>CIRUGIA AMBULATORIA + ESTERILIZACION TURNO TARDE</t>
  </si>
  <si>
    <t>6329443 SC</t>
  </si>
  <si>
    <t>MONTENEGRO</t>
  </si>
  <si>
    <t>KAROLINA</t>
  </si>
  <si>
    <t>73650242</t>
  </si>
  <si>
    <t>TURNO NOCHE 1</t>
  </si>
  <si>
    <t>3354020 LP</t>
  </si>
  <si>
    <t>SAJAMA</t>
  </si>
  <si>
    <t>JOHNNY LUCIO</t>
  </si>
  <si>
    <t>77820264</t>
  </si>
  <si>
    <t>7849593 SC</t>
  </si>
  <si>
    <t>PERDRIEL</t>
  </si>
  <si>
    <t>VIVIANA NELCY</t>
  </si>
  <si>
    <t>78044020</t>
  </si>
  <si>
    <t>7713625 SC</t>
  </si>
  <si>
    <t>NOHELIA</t>
  </si>
  <si>
    <t>76318457</t>
  </si>
  <si>
    <t>TUNO NOCHE 2</t>
  </si>
  <si>
    <t>4588326 SC</t>
  </si>
  <si>
    <t>CUCHALLO</t>
  </si>
  <si>
    <t>DURAN</t>
  </si>
  <si>
    <t>79016793</t>
  </si>
  <si>
    <t>5917370 CBBA</t>
  </si>
  <si>
    <t>ALDULNATE</t>
  </si>
  <si>
    <t>EDELFRIDA</t>
  </si>
  <si>
    <t>76688073</t>
  </si>
  <si>
    <t>8877529 SC</t>
  </si>
  <si>
    <t>PARADA</t>
  </si>
  <si>
    <t>76370102</t>
  </si>
  <si>
    <t>TURNO NOCHE 3</t>
  </si>
  <si>
    <t>6258994 SC</t>
  </si>
  <si>
    <t>ZEPITA</t>
  </si>
  <si>
    <t>NINAJA</t>
  </si>
  <si>
    <t>SEINY RUTH</t>
  </si>
  <si>
    <t>75398869</t>
  </si>
  <si>
    <t>7820911 SC</t>
  </si>
  <si>
    <t>GUARASABI</t>
  </si>
  <si>
    <t>PESSOA</t>
  </si>
  <si>
    <t>78187922</t>
  </si>
  <si>
    <t>8030016 CBB</t>
  </si>
  <si>
    <t>GIOVANA</t>
  </si>
  <si>
    <t>5652749 CH</t>
  </si>
  <si>
    <t>ALMENDRAS</t>
  </si>
  <si>
    <t>MALLON</t>
  </si>
  <si>
    <t>ROSMERI</t>
  </si>
  <si>
    <t>73413101</t>
  </si>
  <si>
    <t>13374318 LP</t>
  </si>
  <si>
    <t>LIMACHI</t>
  </si>
  <si>
    <t>SMITH</t>
  </si>
  <si>
    <t>77169299</t>
  </si>
  <si>
    <t>12571055 SC</t>
  </si>
  <si>
    <t>FABIANA</t>
  </si>
  <si>
    <t>60884847</t>
  </si>
  <si>
    <t>7787628 SC</t>
  </si>
  <si>
    <t>LIJERON</t>
  </si>
  <si>
    <t>VICTORIA</t>
  </si>
  <si>
    <t>76032212</t>
  </si>
  <si>
    <t>9763434 SC</t>
  </si>
  <si>
    <t>BORDA</t>
  </si>
  <si>
    <t>CORDOVA</t>
  </si>
  <si>
    <t>76363043</t>
  </si>
  <si>
    <t>ESTERILIZACION  TURNO FIN DE SEMANA</t>
  </si>
  <si>
    <t>8178037 SC</t>
  </si>
  <si>
    <t>GUALY</t>
  </si>
  <si>
    <t>CAUMO</t>
  </si>
  <si>
    <t>NAYLER</t>
  </si>
  <si>
    <t>77163533</t>
  </si>
  <si>
    <t>8946003 SC</t>
  </si>
  <si>
    <t>ANGELO</t>
  </si>
  <si>
    <t>MERCADO</t>
  </si>
  <si>
    <t>WENDY ALLISON</t>
  </si>
  <si>
    <t>76678712</t>
  </si>
  <si>
    <t xml:space="preserve">M = Mañana         T =  Tarde  N = Noches   FS =  Fin   de   Semana                                                                                                                        </t>
  </si>
  <si>
    <t xml:space="preserve">Lic. Hilaria Cuaquira Aguayo  con horario de lactancia a su entrada                       </t>
  </si>
  <si>
    <t xml:space="preserve">Tec. Mariela Guarasabi Pessoa  con horario de lactancia a su salida                       </t>
  </si>
  <si>
    <t>SERVICIO: UCI</t>
  </si>
  <si>
    <t>ROL DE TURNO   2026</t>
  </si>
  <si>
    <t>MES :</t>
  </si>
  <si>
    <t>GESTION: 2026</t>
  </si>
  <si>
    <t>JEFE DE SERVICIO: Lic. SEFERINO CHAMBI VILLALOBOS</t>
  </si>
  <si>
    <t>Chambi</t>
  </si>
  <si>
    <t xml:space="preserve">Villalobos </t>
  </si>
  <si>
    <t>Seferino</t>
  </si>
  <si>
    <t>LIC. ENFERMERA U.C.I.</t>
  </si>
  <si>
    <t>7:30 a.m.</t>
  </si>
  <si>
    <t>72449077</t>
  </si>
  <si>
    <t>Castro</t>
  </si>
  <si>
    <t xml:space="preserve">Pérez </t>
  </si>
  <si>
    <t xml:space="preserve">Dora </t>
  </si>
  <si>
    <t>7:30:a.m.</t>
  </si>
  <si>
    <t xml:space="preserve">Cayo </t>
  </si>
  <si>
    <t>Chavez</t>
  </si>
  <si>
    <t xml:space="preserve">Norma </t>
  </si>
  <si>
    <t>7:30: a.m.</t>
  </si>
  <si>
    <t>72669550</t>
  </si>
  <si>
    <t>Peña</t>
  </si>
  <si>
    <t>Jimenez</t>
  </si>
  <si>
    <t>AUX. ENFERMERA U.C.I.</t>
  </si>
  <si>
    <t>7:30 p.m</t>
  </si>
  <si>
    <t xml:space="preserve">Hidalgo </t>
  </si>
  <si>
    <t xml:space="preserve">Alanis </t>
  </si>
  <si>
    <t>Gabriela</t>
  </si>
  <si>
    <t>LIC.ENFERMERA U.C.I.</t>
  </si>
  <si>
    <t>77027250</t>
  </si>
  <si>
    <t>Terrazas</t>
  </si>
  <si>
    <t>Gonzales</t>
  </si>
  <si>
    <t>Deisy</t>
  </si>
  <si>
    <t xml:space="preserve">Herbas </t>
  </si>
  <si>
    <t>Ortiz</t>
  </si>
  <si>
    <t>Yaquelim</t>
  </si>
  <si>
    <t>Soliz</t>
  </si>
  <si>
    <t xml:space="preserve">Rojas </t>
  </si>
  <si>
    <t xml:space="preserve">sonia </t>
  </si>
  <si>
    <t>19:30 P.m.</t>
  </si>
  <si>
    <t>Susana</t>
  </si>
  <si>
    <t>Martinez</t>
  </si>
  <si>
    <t xml:space="preserve">Susana </t>
  </si>
  <si>
    <t>7:30 a.m</t>
  </si>
  <si>
    <t>60036900</t>
  </si>
  <si>
    <t xml:space="preserve">Ramírez </t>
  </si>
  <si>
    <t xml:space="preserve">Baura </t>
  </si>
  <si>
    <t>Marcos Lucio</t>
  </si>
  <si>
    <t>LIC. ENFERMERO U.C.I.</t>
  </si>
  <si>
    <t>63555315</t>
  </si>
  <si>
    <t>Poiqui</t>
  </si>
  <si>
    <t>Espinoza</t>
  </si>
  <si>
    <t xml:space="preserve">Shirley Mirian </t>
  </si>
  <si>
    <t>74921600</t>
  </si>
  <si>
    <t>Velasquez</t>
  </si>
  <si>
    <t xml:space="preserve">Flores </t>
  </si>
  <si>
    <t xml:space="preserve">Delicia </t>
  </si>
  <si>
    <t>78421354</t>
  </si>
  <si>
    <t>Escobar</t>
  </si>
  <si>
    <t>Gumucio</t>
  </si>
  <si>
    <t>Ruth Jacqueline</t>
  </si>
  <si>
    <t>70403392</t>
  </si>
  <si>
    <t>Cabezas</t>
  </si>
  <si>
    <t>Caceres</t>
  </si>
  <si>
    <t xml:space="preserve">Laura </t>
  </si>
  <si>
    <t>70984627</t>
  </si>
  <si>
    <t>Chaira</t>
  </si>
  <si>
    <t>Aucache</t>
  </si>
  <si>
    <t>Alfredo</t>
  </si>
  <si>
    <t>LIC,ENFERMERO U.C.I</t>
  </si>
  <si>
    <t xml:space="preserve">Apaza </t>
  </si>
  <si>
    <t>Choque</t>
  </si>
  <si>
    <t xml:space="preserve">Jhoana </t>
  </si>
  <si>
    <t>8:30: a.m.</t>
  </si>
  <si>
    <t>74016625</t>
  </si>
  <si>
    <t>Fernandez</t>
  </si>
  <si>
    <t xml:space="preserve">Gutiérrez </t>
  </si>
  <si>
    <t>Pascualita</t>
  </si>
  <si>
    <t xml:space="preserve"> 76069007</t>
  </si>
  <si>
    <t xml:space="preserve">Janco </t>
  </si>
  <si>
    <t>Mendoza</t>
  </si>
  <si>
    <t xml:space="preserve">Jimena </t>
  </si>
  <si>
    <t xml:space="preserve">LIC. ENFERMERIA U.C.I </t>
  </si>
  <si>
    <t>71682688</t>
  </si>
  <si>
    <t xml:space="preserve">Villca </t>
  </si>
  <si>
    <t xml:space="preserve">Roxana </t>
  </si>
  <si>
    <t>76168942</t>
  </si>
  <si>
    <t>HORARIO DE LACTANCIA : LIC JHOANA APAZA CHOQUE DE 08:30 am  A 19:30 pm</t>
  </si>
  <si>
    <t xml:space="preserve">VACACIONES: LIC. DORA CASTRO PEREZ  DEL 03 AL 17 DE AGOSTO DEL 2026 10 DIAS HABILES </t>
  </si>
  <si>
    <t>VACACIONES: LIC. ROXANA VILLCA CRUZ DEL 01 DE AGOSTO AL 31 DE AGOSTO</t>
  </si>
  <si>
    <t>VACACIONES: AUXILIAR YAQUELIM HERBAS ORTIZ DEL 10 AL 21 DE AGOSTO DEL 2026 10 DIAS HABILES</t>
  </si>
  <si>
    <t>VACACIONES: LIC JHOANA APAZA DEL LUNES 20 DE JULIO HASTA EL 01 DE AGOSTO DEL 2026</t>
  </si>
  <si>
    <t>LIC. ROSITA ENCINAS GUTIERREZ</t>
  </si>
  <si>
    <t xml:space="preserve">LIC. SEFERINO CHAMBI VILLALOBOS </t>
  </si>
  <si>
    <t xml:space="preserve">                            JEFA DE ENFERMERÍA DEL </t>
  </si>
  <si>
    <t xml:space="preserve">                                 JEFE DE ENFERMERAS DEL SERVICIO DE UCI a.i.</t>
  </si>
  <si>
    <t xml:space="preserve">              JEFE DEL SERVICIO DE U.C.I.</t>
  </si>
  <si>
    <t xml:space="preserve">                HOSPITAL MUNICIPAL BAJÍO DEL ORIENTE </t>
  </si>
  <si>
    <t xml:space="preserve">                                                                                     </t>
  </si>
  <si>
    <r>
      <t xml:space="preserve">   Lic. Sonia Sofia Yujra Roque con </t>
    </r>
    <r>
      <rPr>
        <b/>
        <sz val="9"/>
        <color theme="1"/>
        <rFont val="Calibri"/>
        <family val="2"/>
        <scheme val="minor"/>
      </rPr>
      <t>horario de lactancia</t>
    </r>
    <r>
      <rPr>
        <sz val="9"/>
        <color theme="1"/>
        <rFont val="Calibri"/>
        <family val="2"/>
        <scheme val="minor"/>
      </rPr>
      <t xml:space="preserve"> a la</t>
    </r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 xml:space="preserve">salida ingreso 19:30 pm  </t>
    </r>
    <r>
      <rPr>
        <b/>
        <sz val="9"/>
        <color theme="1"/>
        <rFont val="Calibri"/>
        <family val="2"/>
        <scheme val="minor"/>
      </rPr>
      <t>salida</t>
    </r>
    <r>
      <rPr>
        <sz val="9"/>
        <color theme="1"/>
        <rFont val="Calibri"/>
        <family val="2"/>
        <scheme val="minor"/>
      </rPr>
      <t xml:space="preserve"> 06:30 am.</t>
    </r>
  </si>
  <si>
    <r>
      <t xml:space="preserve">Lic. Yenny Rocha Veizaga con </t>
    </r>
    <r>
      <rPr>
        <b/>
        <sz val="9"/>
        <color theme="1"/>
        <rFont val="Calibri"/>
        <family val="2"/>
        <scheme val="minor"/>
      </rPr>
      <t>horario de lactancia</t>
    </r>
    <r>
      <rPr>
        <sz val="9"/>
        <color theme="1"/>
        <rFont val="Calibri"/>
        <family val="2"/>
        <scheme val="minor"/>
      </rPr>
      <t xml:space="preserve"> a la salida ingreso 19:30 pm </t>
    </r>
    <r>
      <rPr>
        <b/>
        <sz val="9"/>
        <color theme="1"/>
        <rFont val="Calibri"/>
        <family val="2"/>
        <scheme val="minor"/>
      </rPr>
      <t>salida</t>
    </r>
    <r>
      <rPr>
        <sz val="9"/>
        <color theme="1"/>
        <rFont val="Calibri"/>
        <family val="2"/>
        <scheme val="minor"/>
      </rPr>
      <t xml:space="preserve"> 06:30 am.</t>
    </r>
  </si>
  <si>
    <r>
      <t xml:space="preserve">   </t>
    </r>
    <r>
      <rPr>
        <b/>
        <sz val="9"/>
        <color theme="1"/>
        <rFont val="Calibri"/>
        <family val="2"/>
        <scheme val="minor"/>
      </rPr>
      <t xml:space="preserve"> VACACIONES</t>
    </r>
  </si>
  <si>
    <r>
      <t xml:space="preserve">Lic. Carlota Valdivia Rodas </t>
    </r>
    <r>
      <rPr>
        <b/>
        <sz val="9"/>
        <color theme="1"/>
        <rFont val="Calibri"/>
        <family val="2"/>
        <scheme val="minor"/>
      </rPr>
      <t xml:space="preserve">vacaciones </t>
    </r>
    <r>
      <rPr>
        <sz val="9"/>
        <color theme="1"/>
        <rFont val="Calibri"/>
        <family val="2"/>
        <scheme val="minor"/>
      </rPr>
      <t xml:space="preserve">desde 18-08-2026 </t>
    </r>
    <r>
      <rPr>
        <b/>
        <sz val="9"/>
        <color theme="1"/>
        <rFont val="Calibri"/>
        <family val="2"/>
        <scheme val="minor"/>
      </rPr>
      <t xml:space="preserve">hasta </t>
    </r>
    <r>
      <rPr>
        <sz val="9"/>
        <color theme="1"/>
        <rFont val="Calibri"/>
        <family val="2"/>
        <scheme val="minor"/>
      </rPr>
      <t xml:space="preserve">31-08-2026 </t>
    </r>
  </si>
  <si>
    <r>
      <rPr>
        <sz val="9"/>
        <color theme="1"/>
        <rFont val="Calibri"/>
        <family val="2"/>
        <scheme val="minor"/>
      </rPr>
      <t xml:space="preserve">Lic. Sandra Yepez Figueroa </t>
    </r>
    <r>
      <rPr>
        <b/>
        <sz val="9"/>
        <color theme="1"/>
        <rFont val="Calibri"/>
        <family val="2"/>
        <scheme val="minor"/>
      </rPr>
      <t xml:space="preserve">Cubrira vacaciones </t>
    </r>
    <r>
      <rPr>
        <sz val="9"/>
        <color theme="1"/>
        <rFont val="Calibri"/>
        <family val="2"/>
        <scheme val="minor"/>
      </rPr>
      <t>de la Lic. Carlota Valdivia Rodas</t>
    </r>
    <r>
      <rPr>
        <b/>
        <sz val="9"/>
        <color theme="1"/>
        <rFont val="Calibri"/>
        <family val="2"/>
        <scheme val="minor"/>
      </rPr>
      <t xml:space="preserve"> desde </t>
    </r>
    <r>
      <rPr>
        <sz val="9"/>
        <color theme="1"/>
        <rFont val="Calibri"/>
        <family val="2"/>
        <scheme val="minor"/>
      </rPr>
      <t xml:space="preserve">18-08-2026 </t>
    </r>
    <r>
      <rPr>
        <b/>
        <sz val="9"/>
        <color theme="1"/>
        <rFont val="Calibri"/>
        <family val="2"/>
        <scheme val="minor"/>
      </rPr>
      <t>hasta</t>
    </r>
    <r>
      <rPr>
        <sz val="9"/>
        <color theme="1"/>
        <rFont val="Calibri"/>
        <family val="2"/>
        <scheme val="minor"/>
      </rPr>
      <t xml:space="preserve"> 31-08-2026 </t>
    </r>
    <r>
      <rPr>
        <b/>
        <sz val="9"/>
        <color theme="1"/>
        <rFont val="Calibri"/>
        <family val="2"/>
        <scheme val="minor"/>
      </rPr>
      <t xml:space="preserve">realizara   turno tarde </t>
    </r>
    <r>
      <rPr>
        <sz val="9"/>
        <color theme="1"/>
        <rFont val="Calibri"/>
        <family val="2"/>
        <scheme val="minor"/>
      </rPr>
      <t xml:space="preserve">ingreso 13:30 pm </t>
    </r>
    <r>
      <rPr>
        <b/>
        <sz val="9"/>
        <color theme="1"/>
        <rFont val="Calibri"/>
        <family val="2"/>
        <scheme val="minor"/>
      </rPr>
      <t>salida</t>
    </r>
    <r>
      <rPr>
        <sz val="9"/>
        <color theme="1"/>
        <rFont val="Calibri"/>
        <family val="2"/>
        <scheme val="minor"/>
      </rPr>
      <t xml:space="preserve"> 19:30pm </t>
    </r>
    <r>
      <rPr>
        <b/>
        <sz val="9"/>
        <color theme="1"/>
        <rFont val="Calibri"/>
        <family val="2"/>
        <scheme val="minor"/>
      </rPr>
      <t xml:space="preserve"> </t>
    </r>
  </si>
  <si>
    <r>
      <t>Aux. Sandra Aguilar Rodriguez</t>
    </r>
    <r>
      <rPr>
        <b/>
        <sz val="9"/>
        <color theme="1"/>
        <rFont val="Calibri"/>
        <family val="2"/>
        <scheme val="minor"/>
      </rPr>
      <t xml:space="preserve"> Realizara Turno Fin de Semana </t>
    </r>
    <r>
      <rPr>
        <sz val="9"/>
        <color theme="1"/>
        <rFont val="Calibri"/>
        <family val="2"/>
        <scheme val="minor"/>
      </rPr>
      <t xml:space="preserve">en fecha 30-08-2026 </t>
    </r>
    <r>
      <rPr>
        <b/>
        <sz val="9"/>
        <color theme="1"/>
        <rFont val="Calibri"/>
        <family val="2"/>
        <scheme val="minor"/>
      </rPr>
      <t xml:space="preserve">ingreso </t>
    </r>
    <r>
      <rPr>
        <sz val="9"/>
        <color theme="1"/>
        <rFont val="Calibri"/>
        <family val="2"/>
        <scheme val="minor"/>
      </rPr>
      <t xml:space="preserve">07:30am </t>
    </r>
    <r>
      <rPr>
        <b/>
        <sz val="9"/>
        <color theme="1"/>
        <rFont val="Calibri"/>
        <family val="2"/>
        <scheme val="minor"/>
      </rPr>
      <t>salida</t>
    </r>
    <r>
      <rPr>
        <sz val="9"/>
        <color theme="1"/>
        <rFont val="Calibri"/>
        <family val="2"/>
        <scheme val="minor"/>
      </rPr>
      <t xml:space="preserve"> 19:30pm.</t>
    </r>
  </si>
  <si>
    <r>
      <t xml:space="preserve">Aux. Martha Quispe Mamani </t>
    </r>
    <r>
      <rPr>
        <b/>
        <sz val="9"/>
        <color theme="1"/>
        <rFont val="Calibri"/>
        <family val="2"/>
        <scheme val="minor"/>
      </rPr>
      <t>Devolvera en TURNO Noche 1</t>
    </r>
    <r>
      <rPr>
        <sz val="9"/>
        <color theme="1"/>
        <rFont val="Calibri"/>
        <family val="2"/>
        <scheme val="minor"/>
      </rPr>
      <t xml:space="preserve"> fecha 10-08-2026</t>
    </r>
    <r>
      <rPr>
        <b/>
        <sz val="9"/>
        <color theme="1"/>
        <rFont val="Calibri"/>
        <family val="2"/>
        <scheme val="minor"/>
      </rPr>
      <t xml:space="preserve"> ingreso</t>
    </r>
    <r>
      <rPr>
        <sz val="9"/>
        <color theme="1"/>
        <rFont val="Calibri"/>
        <family val="2"/>
        <scheme val="minor"/>
      </rPr>
      <t xml:space="preserve"> 19:30 pm </t>
    </r>
    <r>
      <rPr>
        <b/>
        <sz val="9"/>
        <color theme="1"/>
        <rFont val="Calibri"/>
        <family val="2"/>
        <scheme val="minor"/>
      </rPr>
      <t>salida</t>
    </r>
    <r>
      <rPr>
        <sz val="9"/>
        <color theme="1"/>
        <rFont val="Calibri"/>
        <family val="2"/>
        <scheme val="minor"/>
      </rPr>
      <t xml:space="preserve"> 07:30am.</t>
    </r>
  </si>
  <si>
    <r>
      <rPr>
        <b/>
        <i/>
        <u/>
        <sz val="12"/>
        <color theme="1"/>
        <rFont val="Calibri"/>
        <family val="2"/>
        <scheme val="minor"/>
      </rPr>
      <t>Responsable turno mañana:</t>
    </r>
    <r>
      <rPr>
        <sz val="12"/>
        <color theme="1"/>
        <rFont val="Calibri"/>
        <family val="2"/>
        <scheme val="minor"/>
      </rPr>
      <t xml:space="preserve">  Lic.Yesica Castro  Torrico</t>
    </r>
  </si>
  <si>
    <r>
      <rPr>
        <b/>
        <i/>
        <u/>
        <sz val="12"/>
        <color theme="1"/>
        <rFont val="Calibri"/>
        <family val="2"/>
        <scheme val="minor"/>
      </rPr>
      <t>Responsable turno tarde:</t>
    </r>
    <r>
      <rPr>
        <sz val="12"/>
        <color theme="1"/>
        <rFont val="Calibri"/>
        <family val="2"/>
        <scheme val="minor"/>
      </rPr>
      <t xml:space="preserve"> M.Sc.Silvia  Cruz Flores</t>
    </r>
  </si>
  <si>
    <r>
      <rPr>
        <b/>
        <i/>
        <u/>
        <sz val="12"/>
        <color theme="1"/>
        <rFont val="Calibri"/>
        <family val="2"/>
        <scheme val="minor"/>
      </rPr>
      <t>Responsable tuno fin de semana: M.Sc.</t>
    </r>
    <r>
      <rPr>
        <sz val="12"/>
        <color theme="1"/>
        <rFont val="Calibri"/>
        <family val="2"/>
        <scheme val="minor"/>
      </rPr>
      <t xml:space="preserve"> Ivette Nohemi Torrez Apaza</t>
    </r>
  </si>
  <si>
    <r>
      <rPr>
        <b/>
        <i/>
        <u/>
        <sz val="12"/>
        <color theme="1"/>
        <rFont val="Calibri"/>
        <family val="2"/>
        <scheme val="minor"/>
      </rPr>
      <t>USO DE VACACION :</t>
    </r>
    <r>
      <rPr>
        <sz val="12"/>
        <color theme="1"/>
        <rFont val="Calibri"/>
        <family val="2"/>
        <scheme val="minor"/>
      </rPr>
      <t xml:space="preserve"> LIC. NIEVES RAMIREZ CHOQUE  A PARTIR DEL 01 AL 14 DE AGOSTO , VACACION</t>
    </r>
    <r>
      <rPr>
        <b/>
        <sz val="12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>CAMILA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KARINA JOSEFF LUCIA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A PARTIR DE 10 AL 21  DE AGOSTO </t>
    </r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</si>
  <si>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 MAÑANA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</si>
  <si>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  TARDE</t>
    </r>
  </si>
  <si>
    <r>
      <rPr>
        <b/>
        <sz val="11"/>
        <color theme="1"/>
        <rFont val="Calibri"/>
        <family val="2"/>
        <scheme val="minor"/>
      </rPr>
      <t xml:space="preserve">F S </t>
    </r>
    <r>
      <rPr>
        <sz val="11"/>
        <color theme="1"/>
        <rFont val="Calibri"/>
        <family val="2"/>
        <scheme val="minor"/>
      </rPr>
      <t xml:space="preserve">= FIN DE SEMANA 12 horas </t>
    </r>
  </si>
  <si>
    <r>
      <rPr>
        <b/>
        <sz val="11"/>
        <color theme="0"/>
        <rFont val="Calibri"/>
        <family val="2"/>
        <scheme val="minor"/>
      </rPr>
      <t xml:space="preserve">L </t>
    </r>
    <r>
      <rPr>
        <sz val="11"/>
        <color theme="0"/>
        <rFont val="Calibri"/>
        <family val="2"/>
        <scheme val="minor"/>
      </rPr>
      <t>= LIBRE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</si>
</sst>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h:mm\ AM/PM"/>
  </numFmts>
  <fonts count="1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Arial Narrow"/>
      <family val="2"/>
    </font>
    <font>
      <b/>
      <sz val="8"/>
      <color rgb="FF000000"/>
      <name val="Arial Narrow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9"/>
      <color theme="1"/>
      <name val="Arial Narrow"/>
      <family val="2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sz val="8"/>
      <color theme="1"/>
      <name val="Arial Black"/>
      <family val="2"/>
    </font>
    <font>
      <b/>
      <sz val="14"/>
      <color rgb="FF000000"/>
      <name val="Arial Black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6"/>
      <name val="Arial Black"/>
      <family val="2"/>
    </font>
    <font>
      <b/>
      <sz val="20"/>
      <name val="Arial Black"/>
      <family val="2"/>
    </font>
    <font>
      <b/>
      <sz val="10"/>
      <name val="Arial Narrow"/>
      <family val="2"/>
    </font>
    <font>
      <b/>
      <sz val="10"/>
      <color theme="1"/>
      <name val="Arial Black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6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5"/>
      <color rgb="FF000000"/>
      <name val="Arial Narrow"/>
      <family val="2"/>
    </font>
    <font>
      <sz val="7"/>
      <color rgb="FF000000"/>
      <name val="Arial Narrow"/>
      <family val="2"/>
    </font>
    <font>
      <sz val="7"/>
      <color theme="1"/>
      <name val="Arial Narrow"/>
      <family val="2"/>
    </font>
    <font>
      <sz val="7"/>
      <name val="Arial Narrow"/>
      <family val="2"/>
    </font>
    <font>
      <b/>
      <sz val="20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Calibri"/>
      <family val="2"/>
    </font>
    <font>
      <b/>
      <sz val="12"/>
      <color theme="1"/>
      <name val="Arial Blac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Cambria"/>
      <family val="2"/>
      <scheme val="major"/>
    </font>
    <font>
      <i/>
      <sz val="9"/>
      <color theme="1"/>
      <name val="Arial"/>
      <family val="2"/>
    </font>
    <font>
      <b/>
      <sz val="10"/>
      <color rgb="FF3333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Arial Narrow"/>
      <family val="2"/>
    </font>
    <font>
      <b/>
      <sz val="9"/>
      <color theme="1"/>
      <name val="Arial Black"/>
      <family val="2"/>
    </font>
    <font>
      <b/>
      <sz val="9"/>
      <color theme="1"/>
      <name val="Arial Narrow"/>
      <family val="2"/>
    </font>
    <font>
      <b/>
      <sz val="9"/>
      <color rgb="FF000000"/>
      <name val="Arial Black"/>
      <family val="2"/>
    </font>
    <font>
      <b/>
      <sz val="9"/>
      <color theme="1"/>
      <name val="Cambria"/>
      <family val="1"/>
      <scheme val="major"/>
    </font>
    <font>
      <sz val="9"/>
      <color rgb="FF000000"/>
      <name val="Arial"/>
      <family val="2"/>
    </font>
    <font>
      <b/>
      <sz val="9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Calibri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2"/>
      <color theme="1"/>
      <name val="Arial Black"/>
      <family val="2"/>
    </font>
    <font>
      <b/>
      <sz val="10"/>
      <color theme="1" tint="4.9989318521683403E-2"/>
      <name val="Calibri"/>
      <family val="2"/>
      <scheme val="minor"/>
    </font>
    <font>
      <b/>
      <sz val="8"/>
      <color rgb="FF002060"/>
      <name val="Arial"/>
      <family val="2"/>
    </font>
    <font>
      <sz val="8"/>
      <color rgb="FF000000"/>
      <name val="Arial"/>
      <family val="2"/>
    </font>
    <font>
      <b/>
      <sz val="8"/>
      <color theme="1"/>
      <name val="Times New Roman"/>
      <family val="1"/>
    </font>
    <font>
      <b/>
      <sz val="8"/>
      <color theme="1"/>
      <name val="Cambria"/>
      <family val="2"/>
      <scheme val="maj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 Black"/>
      <family val="2"/>
    </font>
    <font>
      <b/>
      <sz val="10"/>
      <color rgb="FF000000"/>
      <name val="Cambria"/>
      <family val="1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b/>
      <i/>
      <sz val="10"/>
      <color theme="3" tint="0.39985351115451523"/>
      <name val="Calibri"/>
      <family val="2"/>
    </font>
    <font>
      <b/>
      <i/>
      <sz val="10"/>
      <color rgb="FFFF0000"/>
      <name val="Calibri"/>
      <family val="2"/>
    </font>
    <font>
      <b/>
      <i/>
      <sz val="10"/>
      <color rgb="FF000000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rgb="FF76923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rgb="FFC6D9F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C6D9F0"/>
      </patternFill>
    </fill>
    <fill>
      <patternFill patternType="solid">
        <fgColor theme="0"/>
        <bgColor rgb="FFC6D9F0"/>
      </patternFill>
    </fill>
    <fill>
      <patternFill patternType="solid">
        <fgColor rgb="FFFA9AD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A9AD1"/>
        <bgColor rgb="FFFFFFFF"/>
      </patternFill>
    </fill>
    <fill>
      <patternFill patternType="solid">
        <fgColor rgb="FFFF669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A9AD1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8A00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EEAB0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C6E0B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76923C"/>
      </patternFill>
    </fill>
    <fill>
      <patternFill patternType="solid">
        <fgColor rgb="FF66FFFF"/>
        <bgColor rgb="FF76923C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9" tint="0.59999389629810485"/>
        <bgColor rgb="FFFFFFFF"/>
      </patternFill>
    </fill>
  </fills>
  <borders count="1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9" tint="-0.249977111117893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9" tint="-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7" tint="0.3999755851924192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theme="9" tint="-0.249977111117893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/>
      <top style="thin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46" fillId="0" borderId="0"/>
    <xf numFmtId="0" fontId="68" fillId="0" borderId="0"/>
    <xf numFmtId="43" fontId="46" fillId="0" borderId="0" applyFont="0" applyFill="0" applyBorder="0" applyAlignment="0" applyProtection="0"/>
  </cellStyleXfs>
  <cellXfs count="1307">
    <xf numFmtId="0" fontId="0" fillId="0" borderId="0" xfId="0"/>
    <xf numFmtId="0" fontId="6" fillId="3" borderId="3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3" borderId="0" xfId="0" applyFont="1" applyFill="1"/>
    <xf numFmtId="0" fontId="10" fillId="0" borderId="0" xfId="0" applyFont="1"/>
    <xf numFmtId="0" fontId="0" fillId="0" borderId="0" xfId="0"/>
    <xf numFmtId="0" fontId="13" fillId="0" borderId="0" xfId="0" applyFont="1" applyBorder="1" applyAlignment="1">
      <alignment horizontal="left"/>
    </xf>
    <xf numFmtId="0" fontId="14" fillId="0" borderId="0" xfId="0" applyFont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top"/>
    </xf>
    <xf numFmtId="0" fontId="17" fillId="3" borderId="3" xfId="0" applyFont="1" applyFill="1" applyBorder="1" applyAlignment="1">
      <alignment horizontal="left" vertical="top"/>
    </xf>
    <xf numFmtId="0" fontId="16" fillId="0" borderId="32" xfId="0" applyFont="1" applyBorder="1" applyAlignment="1">
      <alignment horizontal="center" vertical="center"/>
    </xf>
    <xf numFmtId="0" fontId="24" fillId="3" borderId="35" xfId="0" applyFont="1" applyFill="1" applyBorder="1" applyAlignment="1"/>
    <xf numFmtId="0" fontId="16" fillId="0" borderId="29" xfId="0" applyFont="1" applyBorder="1" applyAlignment="1">
      <alignment horizontal="center" vertical="center" wrapText="1"/>
    </xf>
    <xf numFmtId="0" fontId="18" fillId="10" borderId="36" xfId="0" applyFont="1" applyFill="1" applyBorder="1"/>
    <xf numFmtId="0" fontId="18" fillId="10" borderId="37" xfId="0" applyFont="1" applyFill="1" applyBorder="1" applyAlignment="1">
      <alignment horizontal="left"/>
    </xf>
    <xf numFmtId="0" fontId="19" fillId="10" borderId="37" xfId="0" applyFont="1" applyFill="1" applyBorder="1"/>
    <xf numFmtId="0" fontId="21" fillId="10" borderId="38" xfId="0" applyFont="1" applyFill="1" applyBorder="1" applyAlignment="1">
      <alignment vertical="center"/>
    </xf>
    <xf numFmtId="0" fontId="19" fillId="10" borderId="11" xfId="0" applyFont="1" applyFill="1" applyBorder="1" applyAlignment="1">
      <alignment horizontal="left"/>
    </xf>
    <xf numFmtId="0" fontId="19" fillId="10" borderId="35" xfId="0" applyFont="1" applyFill="1" applyBorder="1" applyAlignment="1">
      <alignment horizontal="left"/>
    </xf>
    <xf numFmtId="0" fontId="20" fillId="10" borderId="35" xfId="0" applyFont="1" applyFill="1" applyBorder="1" applyAlignment="1">
      <alignment horizontal="left"/>
    </xf>
    <xf numFmtId="0" fontId="13" fillId="10" borderId="35" xfId="0" applyFont="1" applyFill="1" applyBorder="1" applyAlignment="1">
      <alignment horizontal="left"/>
    </xf>
    <xf numFmtId="0" fontId="13" fillId="10" borderId="38" xfId="0" applyFont="1" applyFill="1" applyBorder="1" applyAlignment="1">
      <alignment horizontal="left"/>
    </xf>
    <xf numFmtId="0" fontId="18" fillId="10" borderId="35" xfId="0" applyFont="1" applyFill="1" applyBorder="1" applyAlignment="1">
      <alignment horizontal="left"/>
    </xf>
    <xf numFmtId="18" fontId="15" fillId="3" borderId="3" xfId="0" applyNumberFormat="1" applyFont="1" applyFill="1" applyBorder="1" applyAlignment="1">
      <alignment horizontal="left" vertical="center"/>
    </xf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22" fillId="3" borderId="3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10" borderId="3" xfId="0" applyFont="1" applyFill="1" applyBorder="1" applyAlignment="1">
      <alignment horizontal="left" vertical="top"/>
    </xf>
    <xf numFmtId="18" fontId="15" fillId="10" borderId="3" xfId="0" applyNumberFormat="1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center" vertical="center"/>
    </xf>
    <xf numFmtId="0" fontId="18" fillId="10" borderId="39" xfId="0" applyFont="1" applyFill="1" applyBorder="1" applyAlignment="1">
      <alignment horizontal="left"/>
    </xf>
    <xf numFmtId="0" fontId="18" fillId="10" borderId="0" xfId="0" applyFont="1" applyFill="1" applyBorder="1" applyAlignment="1">
      <alignment horizontal="left"/>
    </xf>
    <xf numFmtId="0" fontId="21" fillId="10" borderId="0" xfId="0" applyFont="1" applyFill="1" applyBorder="1" applyAlignment="1">
      <alignment vertical="center"/>
    </xf>
    <xf numFmtId="0" fontId="24" fillId="3" borderId="0" xfId="0" applyFont="1" applyFill="1" applyBorder="1" applyAlignment="1"/>
    <xf numFmtId="0" fontId="26" fillId="10" borderId="37" xfId="0" applyFont="1" applyFill="1" applyBorder="1" applyAlignment="1">
      <alignment horizontal="center" wrapText="1"/>
    </xf>
    <xf numFmtId="0" fontId="27" fillId="0" borderId="0" xfId="0" applyFont="1"/>
    <xf numFmtId="0" fontId="27" fillId="0" borderId="0" xfId="0" applyFont="1" applyFill="1" applyBorder="1"/>
    <xf numFmtId="20" fontId="15" fillId="3" borderId="3" xfId="0" applyNumberFormat="1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top"/>
    </xf>
    <xf numFmtId="0" fontId="13" fillId="3" borderId="37" xfId="0" applyFont="1" applyFill="1" applyBorder="1" applyAlignment="1">
      <alignment horizontal="left"/>
    </xf>
    <xf numFmtId="0" fontId="24" fillId="10" borderId="35" xfId="0" applyFont="1" applyFill="1" applyBorder="1" applyAlignment="1"/>
    <xf numFmtId="0" fontId="24" fillId="10" borderId="0" xfId="0" applyFont="1" applyFill="1" applyBorder="1" applyAlignment="1"/>
    <xf numFmtId="0" fontId="0" fillId="10" borderId="3" xfId="0" applyFill="1" applyBorder="1"/>
    <xf numFmtId="0" fontId="25" fillId="10" borderId="3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41" fillId="3" borderId="3" xfId="0" applyNumberFormat="1" applyFont="1" applyFill="1" applyBorder="1" applyAlignment="1">
      <alignment horizontal="center" vertical="center"/>
    </xf>
    <xf numFmtId="0" fontId="7" fillId="16" borderId="3" xfId="0" applyNumberFormat="1" applyFont="1" applyFill="1" applyBorder="1" applyAlignment="1">
      <alignment horizontal="center" vertical="center"/>
    </xf>
    <xf numFmtId="0" fontId="5" fillId="16" borderId="3" xfId="0" applyNumberFormat="1" applyFont="1" applyFill="1" applyBorder="1" applyAlignment="1">
      <alignment horizontal="center" vertical="center"/>
    </xf>
    <xf numFmtId="0" fontId="41" fillId="16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44" fillId="21" borderId="3" xfId="0" applyFont="1" applyFill="1" applyBorder="1" applyAlignment="1">
      <alignment horizontal="center" vertical="center"/>
    </xf>
    <xf numFmtId="0" fontId="44" fillId="23" borderId="3" xfId="0" applyFont="1" applyFill="1" applyBorder="1" applyAlignment="1">
      <alignment horizontal="center" vertical="center"/>
    </xf>
    <xf numFmtId="0" fontId="44" fillId="24" borderId="3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0" fillId="0" borderId="0" xfId="0"/>
    <xf numFmtId="0" fontId="0" fillId="0" borderId="39" xfId="0" applyBorder="1"/>
    <xf numFmtId="0" fontId="49" fillId="45" borderId="24" xfId="0" applyFont="1" applyFill="1" applyBorder="1" applyAlignment="1">
      <alignment horizontal="center" vertical="center"/>
    </xf>
    <xf numFmtId="0" fontId="49" fillId="45" borderId="42" xfId="0" applyFont="1" applyFill="1" applyBorder="1" applyAlignment="1">
      <alignment horizontal="center" vertical="center"/>
    </xf>
    <xf numFmtId="0" fontId="36" fillId="3" borderId="21" xfId="0" applyFont="1" applyFill="1" applyBorder="1" applyAlignment="1">
      <alignment horizontal="center" vertical="center" wrapText="1"/>
    </xf>
    <xf numFmtId="0" fontId="36" fillId="3" borderId="3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left" vertical="center"/>
    </xf>
    <xf numFmtId="0" fontId="53" fillId="3" borderId="37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 wrapText="1"/>
    </xf>
    <xf numFmtId="20" fontId="53" fillId="3" borderId="37" xfId="0" applyNumberFormat="1" applyFont="1" applyFill="1" applyBorder="1" applyAlignment="1">
      <alignment horizontal="center" vertical="center"/>
    </xf>
    <xf numFmtId="0" fontId="36" fillId="3" borderId="70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0" fillId="0" borderId="77" xfId="0" applyBorder="1"/>
    <xf numFmtId="0" fontId="0" fillId="0" borderId="78" xfId="0" applyBorder="1"/>
    <xf numFmtId="0" fontId="0" fillId="0" borderId="80" xfId="0" applyBorder="1"/>
    <xf numFmtId="0" fontId="3" fillId="0" borderId="77" xfId="0" applyFont="1" applyBorder="1"/>
    <xf numFmtId="0" fontId="3" fillId="0" borderId="77" xfId="0" applyFont="1" applyBorder="1" applyAlignment="1">
      <alignment vertical="center"/>
    </xf>
    <xf numFmtId="0" fontId="0" fillId="0" borderId="83" xfId="0" applyBorder="1"/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0" fillId="0" borderId="79" xfId="0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20" fontId="53" fillId="3" borderId="0" xfId="0" applyNumberFormat="1" applyFont="1" applyFill="1" applyAlignment="1">
      <alignment horizontal="center" vertical="center"/>
    </xf>
    <xf numFmtId="18" fontId="53" fillId="3" borderId="104" xfId="0" applyNumberFormat="1" applyFont="1" applyFill="1" applyBorder="1" applyAlignment="1">
      <alignment horizontal="center" vertical="center"/>
    </xf>
    <xf numFmtId="0" fontId="36" fillId="3" borderId="31" xfId="0" applyFont="1" applyFill="1" applyBorder="1" applyAlignment="1">
      <alignment horizontal="center" vertical="center" wrapText="1"/>
    </xf>
    <xf numFmtId="0" fontId="2" fillId="45" borderId="43" xfId="0" applyFont="1" applyFill="1" applyBorder="1" applyAlignment="1">
      <alignment horizontal="center" vertical="center"/>
    </xf>
    <xf numFmtId="0" fontId="2" fillId="45" borderId="24" xfId="0" applyFont="1" applyFill="1" applyBorder="1" applyAlignment="1">
      <alignment horizontal="center" vertical="center"/>
    </xf>
    <xf numFmtId="0" fontId="0" fillId="0" borderId="105" xfId="0" applyBorder="1"/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21" xfId="0" applyBorder="1"/>
    <xf numFmtId="0" fontId="52" fillId="20" borderId="26" xfId="0" applyFont="1" applyFill="1" applyBorder="1" applyAlignment="1">
      <alignment vertical="center"/>
    </xf>
    <xf numFmtId="0" fontId="36" fillId="3" borderId="34" xfId="0" applyFont="1" applyFill="1" applyBorder="1" applyAlignment="1">
      <alignment horizontal="center" vertical="center" wrapText="1"/>
    </xf>
    <xf numFmtId="0" fontId="36" fillId="3" borderId="28" xfId="0" applyFont="1" applyFill="1" applyBorder="1" applyAlignment="1">
      <alignment horizontal="center" vertical="center" wrapText="1"/>
    </xf>
    <xf numFmtId="0" fontId="16" fillId="52" borderId="31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16" fillId="52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98" xfId="0" applyFont="1" applyFill="1" applyBorder="1" applyAlignment="1">
      <alignment horizontal="center" vertical="center" wrapText="1"/>
    </xf>
    <xf numFmtId="0" fontId="58" fillId="22" borderId="3" xfId="0" applyFont="1" applyFill="1" applyBorder="1" applyAlignment="1">
      <alignment vertical="center"/>
    </xf>
    <xf numFmtId="18" fontId="58" fillId="22" borderId="3" xfId="0" applyNumberFormat="1" applyFont="1" applyFill="1" applyBorder="1" applyAlignment="1">
      <alignment horizontal="left" vertical="center"/>
    </xf>
    <xf numFmtId="18" fontId="58" fillId="22" borderId="21" xfId="0" applyNumberFormat="1" applyFont="1" applyFill="1" applyBorder="1" applyAlignment="1">
      <alignment horizontal="left" vertical="center"/>
    </xf>
    <xf numFmtId="0" fontId="22" fillId="52" borderId="21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18" fontId="58" fillId="3" borderId="3" xfId="0" applyNumberFormat="1" applyFont="1" applyFill="1" applyBorder="1" applyAlignment="1">
      <alignment horizontal="left" vertical="center"/>
    </xf>
    <xf numFmtId="18" fontId="58" fillId="3" borderId="21" xfId="0" applyNumberFormat="1" applyFont="1" applyFill="1" applyBorder="1" applyAlignment="1">
      <alignment horizontal="left" vertical="center"/>
    </xf>
    <xf numFmtId="0" fontId="22" fillId="52" borderId="21" xfId="0" applyFont="1" applyFill="1" applyBorder="1" applyAlignment="1">
      <alignment horizontal="center" vertical="center"/>
    </xf>
    <xf numFmtId="0" fontId="22" fillId="52" borderId="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/>
    </xf>
    <xf numFmtId="0" fontId="22" fillId="52" borderId="2" xfId="0" applyFont="1" applyFill="1" applyBorder="1" applyAlignment="1">
      <alignment vertical="center"/>
    </xf>
    <xf numFmtId="0" fontId="0" fillId="0" borderId="0" xfId="0"/>
    <xf numFmtId="0" fontId="63" fillId="3" borderId="37" xfId="0" applyFont="1" applyFill="1" applyBorder="1"/>
    <xf numFmtId="0" fontId="63" fillId="3" borderId="37" xfId="0" applyFont="1" applyFill="1" applyBorder="1" applyAlignment="1">
      <alignment horizontal="left"/>
    </xf>
    <xf numFmtId="0" fontId="64" fillId="32" borderId="36" xfId="0" applyFont="1" applyFill="1" applyBorder="1"/>
    <xf numFmtId="0" fontId="64" fillId="32" borderId="37" xfId="0" applyFont="1" applyFill="1" applyBorder="1" applyAlignment="1">
      <alignment horizontal="left"/>
    </xf>
    <xf numFmtId="0" fontId="63" fillId="32" borderId="37" xfId="0" applyFont="1" applyFill="1" applyBorder="1"/>
    <xf numFmtId="0" fontId="63" fillId="32" borderId="40" xfId="0" applyFont="1" applyFill="1" applyBorder="1"/>
    <xf numFmtId="0" fontId="64" fillId="32" borderId="41" xfId="0" applyFont="1" applyFill="1" applyBorder="1" applyAlignment="1">
      <alignment vertical="center"/>
    </xf>
    <xf numFmtId="0" fontId="64" fillId="32" borderId="0" xfId="0" applyFont="1" applyFill="1" applyBorder="1"/>
    <xf numFmtId="0" fontId="64" fillId="0" borderId="3" xfId="0" applyFont="1" applyFill="1" applyBorder="1" applyAlignment="1">
      <alignment horizontal="center" vertical="center"/>
    </xf>
    <xf numFmtId="0" fontId="64" fillId="0" borderId="98" xfId="0" applyFont="1" applyFill="1" applyBorder="1" applyAlignment="1">
      <alignment horizontal="center" vertical="center"/>
    </xf>
    <xf numFmtId="0" fontId="65" fillId="11" borderId="3" xfId="0" applyFont="1" applyFill="1" applyBorder="1" applyAlignment="1">
      <alignment horizontal="center" vertical="top"/>
    </xf>
    <xf numFmtId="0" fontId="65" fillId="0" borderId="3" xfId="0" applyFont="1" applyFill="1" applyBorder="1" applyAlignment="1">
      <alignment horizontal="center" vertical="top"/>
    </xf>
    <xf numFmtId="0" fontId="65" fillId="3" borderId="3" xfId="0" applyFont="1" applyFill="1" applyBorder="1" applyAlignment="1">
      <alignment horizontal="center" vertical="top"/>
    </xf>
    <xf numFmtId="0" fontId="65" fillId="0" borderId="98" xfId="0" applyFont="1" applyFill="1" applyBorder="1" applyAlignment="1">
      <alignment horizontal="center" vertical="top"/>
    </xf>
    <xf numFmtId="18" fontId="63" fillId="0" borderId="3" xfId="0" applyNumberFormat="1" applyFont="1" applyFill="1" applyBorder="1" applyAlignment="1">
      <alignment horizontal="left" vertical="center"/>
    </xf>
    <xf numFmtId="0" fontId="63" fillId="32" borderId="66" xfId="0" applyFont="1" applyFill="1" applyBorder="1" applyAlignment="1">
      <alignment horizontal="center" vertical="center"/>
    </xf>
    <xf numFmtId="18" fontId="63" fillId="32" borderId="3" xfId="0" applyNumberFormat="1" applyFont="1" applyFill="1" applyBorder="1" applyAlignment="1">
      <alignment horizontal="left" vertical="center"/>
    </xf>
    <xf numFmtId="0" fontId="63" fillId="0" borderId="3" xfId="0" applyFont="1" applyBorder="1" applyAlignment="1">
      <alignment horizontal="center" vertical="center" wrapText="1"/>
    </xf>
    <xf numFmtId="0" fontId="64" fillId="0" borderId="3" xfId="0" applyFont="1" applyFill="1" applyBorder="1" applyAlignment="1">
      <alignment vertical="center"/>
    </xf>
    <xf numFmtId="0" fontId="63" fillId="59" borderId="20" xfId="0" applyFont="1" applyFill="1" applyBorder="1" applyAlignment="1">
      <alignment horizontal="center" vertical="center"/>
    </xf>
    <xf numFmtId="0" fontId="63" fillId="0" borderId="20" xfId="0" applyFont="1" applyBorder="1" applyAlignment="1">
      <alignment horizontal="center" vertical="center" wrapText="1"/>
    </xf>
    <xf numFmtId="0" fontId="63" fillId="59" borderId="3" xfId="0" applyFont="1" applyFill="1" applyBorder="1" applyAlignment="1">
      <alignment horizontal="center" vertical="center"/>
    </xf>
    <xf numFmtId="0" fontId="63" fillId="0" borderId="3" xfId="0" applyFont="1" applyFill="1" applyBorder="1" applyAlignment="1">
      <alignment horizontal="left" vertical="center"/>
    </xf>
    <xf numFmtId="0" fontId="63" fillId="0" borderId="57" xfId="0" applyFont="1" applyFill="1" applyBorder="1" applyAlignment="1">
      <alignment horizontal="center" vertical="center"/>
    </xf>
    <xf numFmtId="0" fontId="63" fillId="0" borderId="98" xfId="0" applyFont="1" applyFill="1" applyBorder="1" applyAlignment="1">
      <alignment horizontal="center" vertical="center"/>
    </xf>
    <xf numFmtId="18" fontId="63" fillId="0" borderId="21" xfId="0" applyNumberFormat="1" applyFont="1" applyFill="1" applyBorder="1" applyAlignment="1">
      <alignment horizontal="left" vertical="center"/>
    </xf>
    <xf numFmtId="0" fontId="63" fillId="11" borderId="21" xfId="0" applyFont="1" applyFill="1" applyBorder="1" applyAlignment="1">
      <alignment horizontal="center" vertical="center"/>
    </xf>
    <xf numFmtId="0" fontId="63" fillId="0" borderId="21" xfId="0" applyFont="1" applyFill="1" applyBorder="1" applyAlignment="1">
      <alignment horizontal="center" vertical="center"/>
    </xf>
    <xf numFmtId="0" fontId="63" fillId="0" borderId="21" xfId="0" applyFont="1" applyFill="1" applyBorder="1" applyAlignment="1">
      <alignment vertical="center"/>
    </xf>
    <xf numFmtId="0" fontId="63" fillId="0" borderId="126" xfId="0" applyFont="1" applyFill="1" applyBorder="1" applyAlignment="1">
      <alignment horizontal="center" vertical="center"/>
    </xf>
    <xf numFmtId="0" fontId="63" fillId="0" borderId="3" xfId="0" applyFont="1" applyFill="1" applyBorder="1" applyAlignment="1">
      <alignment horizontal="center" vertical="center"/>
    </xf>
    <xf numFmtId="0" fontId="63" fillId="0" borderId="3" xfId="0" applyFont="1" applyFill="1" applyBorder="1" applyAlignment="1">
      <alignment vertical="center"/>
    </xf>
    <xf numFmtId="0" fontId="62" fillId="0" borderId="21" xfId="0" applyFont="1" applyFill="1" applyBorder="1" applyAlignment="1">
      <alignment vertical="center" wrapText="1"/>
    </xf>
    <xf numFmtId="0" fontId="64" fillId="0" borderId="3" xfId="0" applyFont="1" applyFill="1" applyBorder="1" applyAlignment="1">
      <alignment horizontal="left" vertical="center"/>
    </xf>
    <xf numFmtId="0" fontId="64" fillId="0" borderId="1" xfId="0" applyFont="1" applyFill="1" applyBorder="1" applyAlignment="1">
      <alignment horizontal="center" vertical="center"/>
    </xf>
    <xf numFmtId="0" fontId="62" fillId="3" borderId="0" xfId="0" applyFont="1" applyFill="1" applyBorder="1" applyAlignment="1">
      <alignment horizontal="center"/>
    </xf>
    <xf numFmtId="0" fontId="64" fillId="0" borderId="24" xfId="0" applyFont="1" applyFill="1" applyBorder="1" applyAlignment="1">
      <alignment horizontal="left" vertical="center"/>
    </xf>
    <xf numFmtId="49" fontId="63" fillId="0" borderId="24" xfId="0" applyNumberFormat="1" applyFont="1" applyFill="1" applyBorder="1" applyAlignment="1">
      <alignment horizontal="left" vertical="center"/>
    </xf>
    <xf numFmtId="0" fontId="62" fillId="11" borderId="21" xfId="0" applyFont="1" applyFill="1" applyBorder="1" applyAlignment="1">
      <alignment vertical="center" wrapText="1"/>
    </xf>
    <xf numFmtId="0" fontId="63" fillId="32" borderId="98" xfId="0" applyFont="1" applyFill="1" applyBorder="1" applyAlignment="1">
      <alignment horizontal="center" vertical="center"/>
    </xf>
    <xf numFmtId="0" fontId="63" fillId="11" borderId="21" xfId="0" applyFont="1" applyFill="1" applyBorder="1" applyAlignment="1">
      <alignment vertical="center"/>
    </xf>
    <xf numFmtId="0" fontId="63" fillId="0" borderId="21" xfId="0" applyFont="1" applyBorder="1" applyAlignment="1">
      <alignment horizontal="center" vertical="center" wrapText="1"/>
    </xf>
    <xf numFmtId="0" fontId="63" fillId="59" borderId="21" xfId="0" applyFont="1" applyFill="1" applyBorder="1" applyAlignment="1">
      <alignment horizontal="center" vertical="center"/>
    </xf>
    <xf numFmtId="0" fontId="63" fillId="11" borderId="13" xfId="0" applyFont="1" applyFill="1" applyBorder="1" applyAlignment="1">
      <alignment horizontal="center" vertical="center"/>
    </xf>
    <xf numFmtId="0" fontId="63" fillId="59" borderId="1" xfId="0" applyFont="1" applyFill="1" applyBorder="1" applyAlignment="1">
      <alignment horizontal="center" vertical="center"/>
    </xf>
    <xf numFmtId="0" fontId="67" fillId="0" borderId="41" xfId="0" applyFont="1" applyBorder="1" applyAlignment="1">
      <alignment horizontal="center"/>
    </xf>
    <xf numFmtId="0" fontId="63" fillId="0" borderId="20" xfId="0" applyFont="1" applyFill="1" applyBorder="1" applyAlignment="1">
      <alignment vertical="center"/>
    </xf>
    <xf numFmtId="0" fontId="63" fillId="59" borderId="6" xfId="0" applyFont="1" applyFill="1" applyBorder="1" applyAlignment="1">
      <alignment horizontal="center" vertical="center"/>
    </xf>
    <xf numFmtId="0" fontId="64" fillId="11" borderId="3" xfId="0" applyFont="1" applyFill="1" applyBorder="1" applyAlignment="1">
      <alignment vertical="center"/>
    </xf>
    <xf numFmtId="0" fontId="63" fillId="0" borderId="101" xfId="0" applyFont="1" applyBorder="1" applyAlignment="1">
      <alignment horizontal="center" vertical="center" wrapText="1"/>
    </xf>
    <xf numFmtId="0" fontId="63" fillId="0" borderId="13" xfId="0" applyFont="1" applyFill="1" applyBorder="1" applyAlignment="1">
      <alignment horizontal="center" vertical="center"/>
    </xf>
    <xf numFmtId="0" fontId="63" fillId="0" borderId="2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2" fillId="3" borderId="36" xfId="0" applyFont="1" applyFill="1" applyBorder="1"/>
    <xf numFmtId="0" fontId="62" fillId="3" borderId="39" xfId="0" applyFont="1" applyFill="1" applyBorder="1"/>
    <xf numFmtId="0" fontId="63" fillId="0" borderId="6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 wrapText="1"/>
    </xf>
    <xf numFmtId="0" fontId="63" fillId="0" borderId="65" xfId="0" applyFont="1" applyBorder="1" applyAlignment="1">
      <alignment horizontal="center" vertical="center" wrapText="1"/>
    </xf>
    <xf numFmtId="0" fontId="63" fillId="0" borderId="66" xfId="0" applyFont="1" applyFill="1" applyBorder="1" applyAlignment="1">
      <alignment horizontal="center" vertical="center"/>
    </xf>
    <xf numFmtId="0" fontId="63" fillId="59" borderId="15" xfId="0" applyFont="1" applyFill="1" applyBorder="1" applyAlignment="1">
      <alignment horizontal="center" vertical="center"/>
    </xf>
    <xf numFmtId="0" fontId="63" fillId="11" borderId="20" xfId="0" applyFont="1" applyFill="1" applyBorder="1" applyAlignment="1">
      <alignment horizontal="center" vertical="center" wrapText="1"/>
    </xf>
    <xf numFmtId="0" fontId="63" fillId="11" borderId="20" xfId="0" applyFont="1" applyFill="1" applyBorder="1" applyAlignment="1">
      <alignment horizontal="center" vertical="center"/>
    </xf>
    <xf numFmtId="0" fontId="63" fillId="11" borderId="20" xfId="0" applyFont="1" applyFill="1" applyBorder="1" applyAlignment="1">
      <alignment vertical="center" wrapText="1"/>
    </xf>
    <xf numFmtId="18" fontId="63" fillId="0" borderId="1" xfId="0" applyNumberFormat="1" applyFont="1" applyFill="1" applyBorder="1" applyAlignment="1">
      <alignment horizontal="left" vertical="center"/>
    </xf>
    <xf numFmtId="0" fontId="62" fillId="11" borderId="3" xfId="0" applyFont="1" applyFill="1" applyBorder="1" applyAlignment="1">
      <alignment vertical="center" wrapText="1"/>
    </xf>
    <xf numFmtId="0" fontId="62" fillId="0" borderId="3" xfId="0" applyFont="1" applyFill="1" applyBorder="1" applyAlignment="1">
      <alignment vertical="center" wrapText="1"/>
    </xf>
    <xf numFmtId="0" fontId="62" fillId="11" borderId="13" xfId="0" applyFont="1" applyFill="1" applyBorder="1" applyAlignment="1">
      <alignment vertical="center" wrapText="1"/>
    </xf>
    <xf numFmtId="0" fontId="62" fillId="0" borderId="15" xfId="0" applyFont="1" applyFill="1" applyBorder="1" applyAlignment="1">
      <alignment vertical="center" wrapText="1"/>
    </xf>
    <xf numFmtId="0" fontId="71" fillId="0" borderId="0" xfId="0" applyFont="1" applyBorder="1" applyAlignment="1">
      <alignment horizontal="left"/>
    </xf>
    <xf numFmtId="0" fontId="71" fillId="0" borderId="0" xfId="0" applyFont="1" applyBorder="1" applyAlignment="1">
      <alignment horizontal="left" wrapText="1"/>
    </xf>
    <xf numFmtId="0" fontId="71" fillId="0" borderId="0" xfId="0" applyFont="1" applyBorder="1" applyAlignment="1">
      <alignment horizontal="center"/>
    </xf>
    <xf numFmtId="0" fontId="71" fillId="0" borderId="0" xfId="0" applyFont="1" applyAlignment="1">
      <alignment horizontal="center"/>
    </xf>
    <xf numFmtId="0" fontId="71" fillId="3" borderId="0" xfId="0" applyFont="1" applyFill="1" applyAlignment="1">
      <alignment horizontal="center"/>
    </xf>
    <xf numFmtId="0" fontId="72" fillId="0" borderId="0" xfId="0" applyFont="1"/>
    <xf numFmtId="0" fontId="71" fillId="3" borderId="0" xfId="0" applyFont="1" applyFill="1" applyBorder="1" applyAlignment="1">
      <alignment horizontal="center"/>
    </xf>
    <xf numFmtId="0" fontId="71" fillId="3" borderId="0" xfId="0" applyFont="1" applyFill="1" applyBorder="1" applyAlignment="1">
      <alignment horizontal="center" wrapText="1"/>
    </xf>
    <xf numFmtId="0" fontId="70" fillId="0" borderId="0" xfId="0" applyFont="1" applyFill="1" applyAlignment="1">
      <alignment horizontal="center"/>
    </xf>
    <xf numFmtId="0" fontId="70" fillId="3" borderId="0" xfId="0" applyFont="1" applyFill="1" applyAlignment="1">
      <alignment horizontal="center"/>
    </xf>
    <xf numFmtId="0" fontId="71" fillId="0" borderId="0" xfId="0" applyFont="1" applyFill="1" applyAlignment="1">
      <alignment horizontal="center"/>
    </xf>
    <xf numFmtId="0" fontId="73" fillId="6" borderId="3" xfId="0" applyFont="1" applyFill="1" applyBorder="1" applyAlignment="1">
      <alignment horizontal="center"/>
    </xf>
    <xf numFmtId="0" fontId="73" fillId="7" borderId="3" xfId="0" applyFont="1" applyFill="1" applyBorder="1" applyAlignment="1">
      <alignment horizontal="center"/>
    </xf>
    <xf numFmtId="0" fontId="73" fillId="8" borderId="3" xfId="0" applyFont="1" applyFill="1" applyBorder="1" applyAlignment="1">
      <alignment horizontal="center"/>
    </xf>
    <xf numFmtId="0" fontId="70" fillId="4" borderId="3" xfId="0" applyFont="1" applyFill="1" applyBorder="1" applyAlignment="1">
      <alignment horizontal="center"/>
    </xf>
    <xf numFmtId="0" fontId="73" fillId="9" borderId="3" xfId="0" applyFont="1" applyFill="1" applyBorder="1" applyAlignment="1">
      <alignment horizontal="center"/>
    </xf>
    <xf numFmtId="0" fontId="73" fillId="3" borderId="3" xfId="0" applyFont="1" applyFill="1" applyBorder="1" applyAlignment="1">
      <alignment horizontal="center"/>
    </xf>
    <xf numFmtId="0" fontId="73" fillId="3" borderId="20" xfId="0" applyFont="1" applyFill="1" applyBorder="1" applyAlignment="1">
      <alignment horizontal="center"/>
    </xf>
    <xf numFmtId="0" fontId="73" fillId="9" borderId="20" xfId="0" applyFont="1" applyFill="1" applyBorder="1" applyAlignment="1">
      <alignment horizontal="center"/>
    </xf>
    <xf numFmtId="0" fontId="71" fillId="0" borderId="3" xfId="0" applyFont="1" applyFill="1" applyBorder="1" applyAlignment="1">
      <alignment horizontal="center" vertical="center" wrapText="1"/>
    </xf>
    <xf numFmtId="0" fontId="71" fillId="9" borderId="3" xfId="0" applyFont="1" applyFill="1" applyBorder="1" applyAlignment="1">
      <alignment horizontal="center"/>
    </xf>
    <xf numFmtId="0" fontId="71" fillId="3" borderId="3" xfId="0" applyFont="1" applyFill="1" applyBorder="1" applyAlignment="1">
      <alignment horizontal="center"/>
    </xf>
    <xf numFmtId="0" fontId="71" fillId="0" borderId="3" xfId="0" applyFont="1" applyFill="1" applyBorder="1" applyAlignment="1">
      <alignment horizontal="center"/>
    </xf>
    <xf numFmtId="0" fontId="71" fillId="0" borderId="3" xfId="0" applyFont="1" applyBorder="1" applyAlignment="1">
      <alignment horizontal="left"/>
    </xf>
    <xf numFmtId="0" fontId="71" fillId="0" borderId="3" xfId="0" applyFont="1" applyBorder="1" applyAlignment="1">
      <alignment horizontal="center"/>
    </xf>
    <xf numFmtId="0" fontId="71" fillId="0" borderId="24" xfId="0" applyFont="1" applyFill="1" applyBorder="1" applyAlignment="1">
      <alignment horizontal="center" vertical="center" wrapText="1"/>
    </xf>
    <xf numFmtId="0" fontId="71" fillId="0" borderId="3" xfId="0" applyFont="1" applyFill="1" applyBorder="1" applyAlignment="1">
      <alignment horizontal="center" vertical="center"/>
    </xf>
    <xf numFmtId="0" fontId="72" fillId="3" borderId="3" xfId="0" applyFont="1" applyFill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71" fillId="0" borderId="23" xfId="0" applyFont="1" applyBorder="1" applyAlignment="1">
      <alignment horizontal="left"/>
    </xf>
    <xf numFmtId="0" fontId="71" fillId="0" borderId="3" xfId="0" applyFont="1" applyBorder="1" applyAlignment="1">
      <alignment horizontal="left" wrapText="1"/>
    </xf>
    <xf numFmtId="0" fontId="71" fillId="0" borderId="23" xfId="0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72" fillId="3" borderId="3" xfId="0" applyFont="1" applyFill="1" applyBorder="1"/>
    <xf numFmtId="0" fontId="72" fillId="0" borderId="0" xfId="0" applyFont="1" applyAlignment="1">
      <alignment horizontal="left"/>
    </xf>
    <xf numFmtId="0" fontId="72" fillId="0" borderId="0" xfId="0" applyFont="1" applyAlignment="1">
      <alignment horizontal="left" wrapText="1"/>
    </xf>
    <xf numFmtId="0" fontId="72" fillId="3" borderId="0" xfId="0" applyFont="1" applyFill="1"/>
    <xf numFmtId="0" fontId="32" fillId="0" borderId="0" xfId="0" applyFont="1"/>
    <xf numFmtId="0" fontId="70" fillId="0" borderId="0" xfId="0" applyFont="1" applyFill="1" applyBorder="1" applyAlignment="1">
      <alignment horizontal="left" vertical="center" wrapText="1"/>
    </xf>
    <xf numFmtId="0" fontId="71" fillId="0" borderId="0" xfId="0" applyFont="1" applyFill="1" applyBorder="1" applyAlignment="1">
      <alignment horizontal="left" vertical="center" wrapText="1"/>
    </xf>
    <xf numFmtId="0" fontId="77" fillId="0" borderId="0" xfId="0" applyFont="1" applyFill="1" applyBorder="1" applyAlignment="1">
      <alignment horizontal="left" vertical="center" wrapText="1"/>
    </xf>
    <xf numFmtId="0" fontId="72" fillId="0" borderId="0" xfId="0" applyFont="1" applyBorder="1"/>
    <xf numFmtId="0" fontId="78" fillId="0" borderId="0" xfId="0" applyFont="1" applyFill="1" applyBorder="1" applyAlignment="1">
      <alignment horizontal="left" wrapText="1"/>
    </xf>
    <xf numFmtId="20" fontId="78" fillId="0" borderId="0" xfId="0" applyNumberFormat="1" applyFont="1" applyFill="1" applyBorder="1" applyAlignment="1">
      <alignment horizontal="center"/>
    </xf>
    <xf numFmtId="0" fontId="78" fillId="0" borderId="0" xfId="0" applyFont="1" applyBorder="1" applyAlignment="1">
      <alignment horizontal="center"/>
    </xf>
    <xf numFmtId="0" fontId="15" fillId="10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vertical="center" wrapText="1"/>
    </xf>
    <xf numFmtId="0" fontId="8" fillId="11" borderId="40" xfId="0" applyNumberFormat="1" applyFont="1" applyFill="1" applyBorder="1"/>
    <xf numFmtId="0" fontId="8" fillId="0" borderId="0" xfId="0" applyNumberFormat="1" applyFont="1"/>
    <xf numFmtId="0" fontId="8" fillId="0" borderId="0" xfId="0" applyNumberFormat="1" applyFont="1" applyAlignment="1">
      <alignment horizontal="left"/>
    </xf>
    <xf numFmtId="0" fontId="8" fillId="11" borderId="11" xfId="0" applyNumberFormat="1" applyFont="1" applyFill="1" applyBorder="1" applyAlignment="1">
      <alignment horizontal="left"/>
    </xf>
    <xf numFmtId="0" fontId="48" fillId="11" borderId="35" xfId="0" applyNumberFormat="1" applyFont="1" applyFill="1" applyBorder="1" applyAlignment="1">
      <alignment horizontal="left"/>
    </xf>
    <xf numFmtId="0" fontId="8" fillId="11" borderId="35" xfId="0" applyNumberFormat="1" applyFont="1" applyFill="1" applyBorder="1" applyAlignment="1">
      <alignment horizontal="left"/>
    </xf>
    <xf numFmtId="0" fontId="48" fillId="11" borderId="36" xfId="0" applyNumberFormat="1" applyFont="1" applyFill="1" applyBorder="1" applyAlignment="1">
      <alignment horizontal="left"/>
    </xf>
    <xf numFmtId="0" fontId="48" fillId="11" borderId="37" xfId="0" applyNumberFormat="1" applyFont="1" applyFill="1" applyBorder="1" applyAlignment="1">
      <alignment horizontal="left"/>
    </xf>
    <xf numFmtId="0" fontId="8" fillId="11" borderId="0" xfId="0" applyNumberFormat="1" applyFont="1" applyFill="1"/>
    <xf numFmtId="0" fontId="80" fillId="11" borderId="41" xfId="0" applyNumberFormat="1" applyFont="1" applyFill="1" applyBorder="1" applyAlignment="1">
      <alignment vertical="center"/>
    </xf>
    <xf numFmtId="0" fontId="48" fillId="11" borderId="0" xfId="0" applyNumberFormat="1" applyFont="1" applyFill="1" applyBorder="1"/>
    <xf numFmtId="0" fontId="48" fillId="3" borderId="0" xfId="0" applyNumberFormat="1" applyFont="1" applyFill="1" applyBorder="1"/>
    <xf numFmtId="0" fontId="48" fillId="0" borderId="3" xfId="0" applyNumberFormat="1" applyFont="1" applyBorder="1" applyAlignment="1">
      <alignment vertical="center"/>
    </xf>
    <xf numFmtId="0" fontId="80" fillId="0" borderId="3" xfId="0" applyNumberFormat="1" applyFont="1" applyBorder="1" applyAlignment="1">
      <alignment vertical="center" wrapText="1"/>
    </xf>
    <xf numFmtId="0" fontId="80" fillId="0" borderId="3" xfId="0" applyNumberFormat="1" applyFont="1" applyBorder="1" applyAlignment="1">
      <alignment vertical="center"/>
    </xf>
    <xf numFmtId="0" fontId="80" fillId="0" borderId="3" xfId="0" applyNumberFormat="1" applyFont="1" applyBorder="1" applyAlignment="1">
      <alignment horizontal="center" vertical="center"/>
    </xf>
    <xf numFmtId="0" fontId="80" fillId="3" borderId="3" xfId="0" applyNumberFormat="1" applyFont="1" applyFill="1" applyBorder="1" applyAlignment="1">
      <alignment horizontal="center" vertical="center"/>
    </xf>
    <xf numFmtId="0" fontId="81" fillId="3" borderId="3" xfId="0" applyNumberFormat="1" applyFont="1" applyFill="1" applyBorder="1" applyAlignment="1">
      <alignment horizontal="center" vertical="center"/>
    </xf>
    <xf numFmtId="0" fontId="80" fillId="11" borderId="3" xfId="0" applyNumberFormat="1" applyFont="1" applyFill="1" applyBorder="1" applyAlignment="1">
      <alignment horizontal="center" vertical="center"/>
    </xf>
    <xf numFmtId="0" fontId="81" fillId="11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/>
    <xf numFmtId="0" fontId="82" fillId="11" borderId="3" xfId="0" applyNumberFormat="1" applyFont="1" applyFill="1" applyBorder="1" applyAlignment="1">
      <alignment horizontal="center" vertical="center"/>
    </xf>
    <xf numFmtId="0" fontId="8" fillId="11" borderId="3" xfId="0" applyNumberFormat="1" applyFont="1" applyFill="1" applyBorder="1" applyAlignment="1">
      <alignment horizontal="center" vertical="center"/>
    </xf>
    <xf numFmtId="0" fontId="48" fillId="11" borderId="3" xfId="0" applyNumberFormat="1" applyFont="1" applyFill="1" applyBorder="1" applyAlignment="1">
      <alignment horizontal="center" vertical="center"/>
    </xf>
    <xf numFmtId="0" fontId="83" fillId="3" borderId="3" xfId="0" applyNumberFormat="1" applyFont="1" applyFill="1" applyBorder="1" applyAlignment="1">
      <alignment horizontal="center" vertical="center"/>
    </xf>
    <xf numFmtId="0" fontId="82" fillId="3" borderId="3" xfId="0" applyNumberFormat="1" applyFont="1" applyFill="1" applyBorder="1" applyAlignment="1">
      <alignment horizontal="center" vertical="center"/>
    </xf>
    <xf numFmtId="0" fontId="83" fillId="11" borderId="3" xfId="0" applyNumberFormat="1" applyFont="1" applyFill="1" applyBorder="1" applyAlignment="1">
      <alignment horizontal="center" vertical="center"/>
    </xf>
    <xf numFmtId="0" fontId="84" fillId="11" borderId="3" xfId="0" applyNumberFormat="1" applyFont="1" applyFill="1" applyBorder="1" applyAlignment="1">
      <alignment horizontal="center" vertical="center"/>
    </xf>
    <xf numFmtId="0" fontId="82" fillId="3" borderId="20" xfId="0" applyNumberFormat="1" applyFont="1" applyFill="1" applyBorder="1" applyAlignment="1">
      <alignment horizontal="center" vertical="center"/>
    </xf>
    <xf numFmtId="0" fontId="82" fillId="11" borderId="3" xfId="1" applyNumberFormat="1" applyFont="1" applyFill="1" applyBorder="1" applyAlignment="1">
      <alignment horizontal="center" vertical="center"/>
    </xf>
    <xf numFmtId="0" fontId="83" fillId="11" borderId="3" xfId="0" applyNumberFormat="1" applyFont="1" applyFill="1" applyBorder="1" applyAlignment="1">
      <alignment horizontal="center"/>
    </xf>
    <xf numFmtId="0" fontId="83" fillId="3" borderId="3" xfId="0" applyFont="1" applyFill="1" applyBorder="1" applyAlignment="1">
      <alignment horizontal="center"/>
    </xf>
    <xf numFmtId="0" fontId="83" fillId="11" borderId="3" xfId="0" applyFont="1" applyFill="1" applyBorder="1" applyAlignment="1">
      <alignment horizontal="center"/>
    </xf>
    <xf numFmtId="0" fontId="83" fillId="11" borderId="1" xfId="0" applyFont="1" applyFill="1" applyBorder="1" applyAlignment="1">
      <alignment horizontal="center"/>
    </xf>
    <xf numFmtId="0" fontId="83" fillId="11" borderId="2" xfId="1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8" fontId="5" fillId="3" borderId="3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/>
    </xf>
    <xf numFmtId="0" fontId="6" fillId="11" borderId="3" xfId="0" applyNumberFormat="1" applyFont="1" applyFill="1" applyBorder="1" applyAlignment="1">
      <alignment horizontal="center"/>
    </xf>
    <xf numFmtId="0" fontId="83" fillId="3" borderId="3" xfId="0" applyNumberFormat="1" applyFont="1" applyFill="1" applyBorder="1" applyAlignment="1">
      <alignment horizontal="center"/>
    </xf>
    <xf numFmtId="0" fontId="83" fillId="3" borderId="3" xfId="0" applyFont="1" applyFill="1" applyBorder="1" applyAlignment="1">
      <alignment horizontal="center" wrapText="1"/>
    </xf>
    <xf numFmtId="0" fontId="83" fillId="11" borderId="3" xfId="0" applyFont="1" applyFill="1" applyBorder="1" applyAlignment="1">
      <alignment horizontal="center" wrapText="1"/>
    </xf>
    <xf numFmtId="0" fontId="83" fillId="3" borderId="0" xfId="0" applyNumberFormat="1" applyFont="1" applyFill="1" applyBorder="1" applyAlignment="1">
      <alignment horizontal="center" vertical="center"/>
    </xf>
    <xf numFmtId="0" fontId="83" fillId="11" borderId="3" xfId="1" applyNumberFormat="1" applyFont="1" applyFill="1" applyBorder="1" applyAlignment="1">
      <alignment horizontal="center"/>
    </xf>
    <xf numFmtId="0" fontId="48" fillId="3" borderId="0" xfId="0" applyFont="1" applyFill="1"/>
    <xf numFmtId="0" fontId="8" fillId="3" borderId="0" xfId="0" applyNumberFormat="1" applyFont="1" applyFill="1"/>
    <xf numFmtId="0" fontId="8" fillId="13" borderId="0" xfId="0" applyNumberFormat="1" applyFont="1" applyFill="1"/>
    <xf numFmtId="0" fontId="85" fillId="3" borderId="0" xfId="0" applyNumberFormat="1" applyFont="1" applyFill="1"/>
    <xf numFmtId="0" fontId="6" fillId="14" borderId="0" xfId="0" applyFont="1" applyFill="1"/>
    <xf numFmtId="0" fontId="5" fillId="15" borderId="3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/>
    </xf>
    <xf numFmtId="0" fontId="41" fillId="3" borderId="1" xfId="0" applyNumberFormat="1" applyFont="1" applyFill="1" applyBorder="1" applyAlignment="1">
      <alignment horizontal="center" vertical="center"/>
    </xf>
    <xf numFmtId="18" fontId="5" fillId="0" borderId="3" xfId="0" applyNumberFormat="1" applyFont="1" applyBorder="1" applyAlignment="1">
      <alignment horizontal="center" vertical="center"/>
    </xf>
    <xf numFmtId="0" fontId="41" fillId="15" borderId="3" xfId="0" applyNumberFormat="1" applyFont="1" applyFill="1" applyBorder="1" applyAlignment="1">
      <alignment horizontal="center" vertical="center"/>
    </xf>
    <xf numFmtId="0" fontId="48" fillId="15" borderId="3" xfId="0" applyFont="1" applyFill="1" applyBorder="1" applyAlignment="1">
      <alignment horizontal="center"/>
    </xf>
    <xf numFmtId="0" fontId="41" fillId="16" borderId="1" xfId="0" applyNumberFormat="1" applyFont="1" applyFill="1" applyBorder="1" applyAlignment="1">
      <alignment horizontal="center" vertical="center"/>
    </xf>
    <xf numFmtId="18" fontId="5" fillId="16" borderId="3" xfId="0" applyNumberFormat="1" applyFont="1" applyFill="1" applyBorder="1" applyAlignment="1">
      <alignment horizontal="center" vertical="center"/>
    </xf>
    <xf numFmtId="0" fontId="5" fillId="17" borderId="3" xfId="0" applyNumberFormat="1" applyFont="1" applyFill="1" applyBorder="1" applyAlignment="1">
      <alignment horizontal="center" vertical="center"/>
    </xf>
    <xf numFmtId="0" fontId="41" fillId="17" borderId="3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/>
    </xf>
    <xf numFmtId="0" fontId="6" fillId="17" borderId="3" xfId="0" applyNumberFormat="1" applyFont="1" applyFill="1" applyBorder="1" applyAlignment="1">
      <alignment horizontal="center" vertical="center"/>
    </xf>
    <xf numFmtId="0" fontId="12" fillId="17" borderId="3" xfId="0" applyNumberFormat="1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48" fillId="17" borderId="3" xfId="0" applyFont="1" applyFill="1" applyBorder="1" applyAlignment="1">
      <alignment horizontal="center"/>
    </xf>
    <xf numFmtId="0" fontId="40" fillId="3" borderId="3" xfId="0" applyNumberFormat="1" applyFont="1" applyFill="1" applyBorder="1" applyAlignment="1">
      <alignment horizontal="center" vertical="center"/>
    </xf>
    <xf numFmtId="0" fontId="70" fillId="3" borderId="3" xfId="0" applyNumberFormat="1" applyFont="1" applyFill="1" applyBorder="1" applyAlignment="1">
      <alignment horizontal="center" vertical="center"/>
    </xf>
    <xf numFmtId="18" fontId="70" fillId="3" borderId="3" xfId="0" applyNumberFormat="1" applyFont="1" applyFill="1" applyBorder="1" applyAlignment="1">
      <alignment horizontal="center" vertical="center"/>
    </xf>
    <xf numFmtId="0" fontId="73" fillId="3" borderId="3" xfId="0" applyNumberFormat="1" applyFont="1" applyFill="1" applyBorder="1" applyAlignment="1">
      <alignment horizontal="center" vertical="center"/>
    </xf>
    <xf numFmtId="0" fontId="70" fillId="0" borderId="3" xfId="0" applyNumberFormat="1" applyFont="1" applyFill="1" applyBorder="1" applyAlignment="1">
      <alignment horizontal="center" vertical="center"/>
    </xf>
    <xf numFmtId="0" fontId="40" fillId="0" borderId="3" xfId="0" applyNumberFormat="1" applyFont="1" applyFill="1" applyBorder="1" applyAlignment="1">
      <alignment horizontal="center" vertical="center"/>
    </xf>
    <xf numFmtId="0" fontId="73" fillId="0" borderId="3" xfId="0" applyNumberFormat="1" applyFont="1" applyFill="1" applyBorder="1" applyAlignment="1">
      <alignment horizontal="center" vertical="center"/>
    </xf>
    <xf numFmtId="20" fontId="70" fillId="3" borderId="3" xfId="0" applyNumberFormat="1" applyFont="1" applyFill="1" applyBorder="1" applyAlignment="1">
      <alignment horizontal="center" vertical="center"/>
    </xf>
    <xf numFmtId="0" fontId="70" fillId="0" borderId="3" xfId="0" applyNumberFormat="1" applyFont="1" applyBorder="1" applyAlignment="1">
      <alignment horizontal="center" vertical="center"/>
    </xf>
    <xf numFmtId="0" fontId="48" fillId="11" borderId="35" xfId="0" applyNumberFormat="1" applyFont="1" applyFill="1" applyBorder="1" applyAlignment="1">
      <alignment horizontal="center"/>
    </xf>
    <xf numFmtId="0" fontId="8" fillId="11" borderId="35" xfId="0" applyNumberFormat="1" applyFont="1" applyFill="1" applyBorder="1" applyAlignment="1">
      <alignment horizontal="center"/>
    </xf>
    <xf numFmtId="0" fontId="8" fillId="11" borderId="38" xfId="0" applyNumberFormat="1" applyFont="1" applyFill="1" applyBorder="1" applyAlignment="1">
      <alignment horizontal="center"/>
    </xf>
    <xf numFmtId="0" fontId="8" fillId="11" borderId="0" xfId="0" applyNumberFormat="1" applyFont="1" applyFill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11" borderId="37" xfId="0" applyNumberFormat="1" applyFont="1" applyFill="1" applyBorder="1" applyAlignment="1">
      <alignment horizontal="center"/>
    </xf>
    <xf numFmtId="0" fontId="8" fillId="11" borderId="40" xfId="0" applyNumberFormat="1" applyFont="1" applyFill="1" applyBorder="1" applyAlignment="1">
      <alignment horizontal="center"/>
    </xf>
    <xf numFmtId="0" fontId="80" fillId="0" borderId="0" xfId="0" applyNumberFormat="1" applyFont="1" applyAlignment="1">
      <alignment horizontal="center" vertical="center"/>
    </xf>
    <xf numFmtId="0" fontId="48" fillId="3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3" borderId="0" xfId="0" applyFont="1" applyFill="1" applyAlignment="1">
      <alignment horizontal="center"/>
    </xf>
    <xf numFmtId="0" fontId="44" fillId="0" borderId="3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/>
    </xf>
    <xf numFmtId="0" fontId="44" fillId="3" borderId="21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0" fontId="44" fillId="3" borderId="24" xfId="0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8" fillId="0" borderId="24" xfId="0" applyFont="1" applyFill="1" applyBorder="1" applyAlignment="1">
      <alignment horizontal="center" vertical="center"/>
    </xf>
    <xf numFmtId="0" fontId="44" fillId="19" borderId="3" xfId="0" applyFont="1" applyFill="1" applyBorder="1" applyAlignment="1">
      <alignment horizontal="center" vertical="center"/>
    </xf>
    <xf numFmtId="0" fontId="44" fillId="19" borderId="3" xfId="0" applyFont="1" applyFill="1" applyBorder="1" applyAlignment="1">
      <alignment horizontal="left" vertical="center"/>
    </xf>
    <xf numFmtId="0" fontId="44" fillId="19" borderId="3" xfId="0" applyFont="1" applyFill="1" applyBorder="1" applyAlignment="1">
      <alignment horizontal="center" vertical="center" wrapText="1"/>
    </xf>
    <xf numFmtId="18" fontId="44" fillId="19" borderId="3" xfId="0" applyNumberFormat="1" applyFont="1" applyFill="1" applyBorder="1" applyAlignment="1">
      <alignment horizontal="center" vertical="center"/>
    </xf>
    <xf numFmtId="0" fontId="87" fillId="19" borderId="3" xfId="0" applyFont="1" applyFill="1" applyBorder="1" applyAlignment="1">
      <alignment horizontal="center" vertical="center"/>
    </xf>
    <xf numFmtId="0" fontId="44" fillId="22" borderId="3" xfId="0" applyFont="1" applyFill="1" applyBorder="1" applyAlignment="1">
      <alignment horizontal="center" vertical="center"/>
    </xf>
    <xf numFmtId="0" fontId="44" fillId="22" borderId="3" xfId="0" applyFont="1" applyFill="1" applyBorder="1" applyAlignment="1">
      <alignment horizontal="left" vertical="center"/>
    </xf>
    <xf numFmtId="18" fontId="44" fillId="22" borderId="3" xfId="0" applyNumberFormat="1" applyFont="1" applyFill="1" applyBorder="1" applyAlignment="1">
      <alignment horizontal="center" vertical="center"/>
    </xf>
    <xf numFmtId="0" fontId="88" fillId="22" borderId="3" xfId="0" applyFont="1" applyFill="1" applyBorder="1" applyAlignment="1">
      <alignment horizontal="center" vertical="center"/>
    </xf>
    <xf numFmtId="0" fontId="89" fillId="22" borderId="3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left" vertical="top"/>
    </xf>
    <xf numFmtId="18" fontId="44" fillId="3" borderId="3" xfId="0" applyNumberFormat="1" applyFont="1" applyFill="1" applyBorder="1" applyAlignment="1">
      <alignment horizontal="center" vertical="center"/>
    </xf>
    <xf numFmtId="0" fontId="88" fillId="3" borderId="3" xfId="0" applyFont="1" applyFill="1" applyBorder="1" applyAlignment="1">
      <alignment horizontal="center" vertical="center"/>
    </xf>
    <xf numFmtId="0" fontId="89" fillId="3" borderId="3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left" vertical="center" wrapText="1"/>
    </xf>
    <xf numFmtId="0" fontId="25" fillId="3" borderId="3" xfId="0" applyFont="1" applyFill="1" applyBorder="1" applyAlignment="1">
      <alignment horizontal="center"/>
    </xf>
    <xf numFmtId="0" fontId="90" fillId="3" borderId="3" xfId="0" applyFont="1" applyFill="1" applyBorder="1" applyAlignment="1">
      <alignment horizontal="left" vertical="top"/>
    </xf>
    <xf numFmtId="0" fontId="90" fillId="3" borderId="3" xfId="0" applyFont="1" applyFill="1" applyBorder="1" applyAlignment="1">
      <alignment horizontal="center" vertical="top" wrapText="1"/>
    </xf>
    <xf numFmtId="0" fontId="87" fillId="22" borderId="3" xfId="0" applyFont="1" applyFill="1" applyBorder="1" applyAlignment="1">
      <alignment horizontal="center" vertical="center"/>
    </xf>
    <xf numFmtId="0" fontId="87" fillId="3" borderId="3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left" vertical="center"/>
    </xf>
    <xf numFmtId="0" fontId="25" fillId="0" borderId="3" xfId="0" applyFont="1" applyBorder="1" applyAlignment="1">
      <alignment horizontal="center"/>
    </xf>
    <xf numFmtId="0" fontId="90" fillId="3" borderId="3" xfId="0" applyFont="1" applyFill="1" applyBorder="1" applyAlignment="1">
      <alignment horizontal="left" vertical="center"/>
    </xf>
    <xf numFmtId="49" fontId="44" fillId="3" borderId="3" xfId="0" applyNumberFormat="1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left" vertical="center" wrapText="1"/>
    </xf>
    <xf numFmtId="0" fontId="44" fillId="3" borderId="3" xfId="0" applyFont="1" applyFill="1" applyBorder="1" applyAlignment="1">
      <alignment vertical="center"/>
    </xf>
    <xf numFmtId="0" fontId="88" fillId="22" borderId="3" xfId="0" applyFont="1" applyFill="1" applyBorder="1" applyAlignment="1">
      <alignment horizontal="center"/>
    </xf>
    <xf numFmtId="0" fontId="90" fillId="3" borderId="3" xfId="0" applyFont="1" applyFill="1" applyBorder="1" applyAlignment="1">
      <alignment horizontal="center" vertical="center" wrapText="1"/>
    </xf>
    <xf numFmtId="0" fontId="86" fillId="22" borderId="3" xfId="0" applyFont="1" applyFill="1" applyBorder="1" applyAlignment="1">
      <alignment horizontal="center" vertical="center"/>
    </xf>
    <xf numFmtId="0" fontId="86" fillId="3" borderId="3" xfId="0" applyFont="1" applyFill="1" applyBorder="1" applyAlignment="1">
      <alignment horizontal="center" vertical="center"/>
    </xf>
    <xf numFmtId="0" fontId="83" fillId="0" borderId="0" xfId="0" applyFont="1" applyAlignment="1">
      <alignment horizontal="left"/>
    </xf>
    <xf numFmtId="0" fontId="90" fillId="3" borderId="3" xfId="0" applyFont="1" applyFill="1" applyBorder="1" applyAlignment="1">
      <alignment horizontal="left" vertical="top" wrapText="1"/>
    </xf>
    <xf numFmtId="0" fontId="70" fillId="25" borderId="2" xfId="0" applyFont="1" applyFill="1" applyBorder="1" applyAlignment="1">
      <alignment horizontal="center" vertical="center"/>
    </xf>
    <xf numFmtId="0" fontId="70" fillId="25" borderId="3" xfId="0" applyFont="1" applyFill="1" applyBorder="1" applyAlignment="1">
      <alignment horizontal="center" vertical="center"/>
    </xf>
    <xf numFmtId="0" fontId="91" fillId="25" borderId="3" xfId="0" applyFont="1" applyFill="1" applyBorder="1" applyAlignment="1">
      <alignment horizontal="center" vertical="center"/>
    </xf>
    <xf numFmtId="0" fontId="92" fillId="25" borderId="3" xfId="0" applyFont="1" applyFill="1" applyBorder="1" applyAlignment="1">
      <alignment horizontal="center" vertical="center"/>
    </xf>
    <xf numFmtId="0" fontId="92" fillId="0" borderId="3" xfId="0" applyFont="1" applyBorder="1" applyAlignment="1">
      <alignment horizontal="center" vertical="center" wrapText="1"/>
    </xf>
    <xf numFmtId="0" fontId="92" fillId="0" borderId="3" xfId="0" applyFont="1" applyBorder="1" applyAlignment="1">
      <alignment horizontal="center" vertical="center"/>
    </xf>
    <xf numFmtId="0" fontId="92" fillId="0" borderId="3" xfId="1" applyNumberFormat="1" applyFont="1" applyBorder="1" applyAlignment="1">
      <alignment horizontal="center" vertical="center" wrapText="1"/>
    </xf>
    <xf numFmtId="0" fontId="40" fillId="25" borderId="3" xfId="0" applyFont="1" applyFill="1" applyBorder="1" applyAlignment="1">
      <alignment horizontal="center" vertical="center"/>
    </xf>
    <xf numFmtId="0" fontId="93" fillId="25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9" fontId="16" fillId="0" borderId="3" xfId="1" applyFont="1" applyBorder="1" applyAlignment="1">
      <alignment horizontal="center" vertical="center"/>
    </xf>
    <xf numFmtId="0" fontId="70" fillId="25" borderId="3" xfId="0" applyFont="1" applyFill="1" applyBorder="1" applyAlignment="1">
      <alignment horizontal="center" vertical="center" wrapText="1"/>
    </xf>
    <xf numFmtId="0" fontId="32" fillId="25" borderId="3" xfId="0" applyFont="1" applyFill="1" applyBorder="1" applyAlignment="1">
      <alignment horizontal="center"/>
    </xf>
    <xf numFmtId="0" fontId="70" fillId="26" borderId="2" xfId="0" applyFont="1" applyFill="1" applyBorder="1" applyAlignment="1">
      <alignment horizontal="center" vertical="center" wrapText="1"/>
    </xf>
    <xf numFmtId="0" fontId="94" fillId="26" borderId="3" xfId="0" applyFont="1" applyFill="1" applyBorder="1" applyAlignment="1">
      <alignment horizontal="center" vertical="center" wrapText="1"/>
    </xf>
    <xf numFmtId="0" fontId="16" fillId="26" borderId="3" xfId="0" applyFont="1" applyFill="1" applyBorder="1" applyAlignment="1">
      <alignment horizontal="center" vertical="center"/>
    </xf>
    <xf numFmtId="0" fontId="70" fillId="3" borderId="3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horizontal="center" vertical="center" wrapText="1"/>
    </xf>
    <xf numFmtId="0" fontId="40" fillId="3" borderId="3" xfId="0" applyFont="1" applyFill="1" applyBorder="1" applyAlignment="1">
      <alignment horizontal="center" vertical="center"/>
    </xf>
    <xf numFmtId="0" fontId="73" fillId="26" borderId="3" xfId="0" applyFont="1" applyFill="1" applyBorder="1" applyAlignment="1">
      <alignment horizontal="center" vertical="center"/>
    </xf>
    <xf numFmtId="0" fontId="73" fillId="3" borderId="3" xfId="0" applyFont="1" applyFill="1" applyBorder="1" applyAlignment="1">
      <alignment horizontal="center" vertical="center"/>
    </xf>
    <xf numFmtId="0" fontId="32" fillId="26" borderId="3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/>
    </xf>
    <xf numFmtId="9" fontId="73" fillId="26" borderId="3" xfId="1" applyFont="1" applyFill="1" applyBorder="1" applyAlignment="1">
      <alignment horizontal="center" vertical="center"/>
    </xf>
    <xf numFmtId="0" fontId="70" fillId="26" borderId="3" xfId="0" applyFont="1" applyFill="1" applyBorder="1" applyAlignment="1">
      <alignment horizontal="center" vertical="center"/>
    </xf>
    <xf numFmtId="0" fontId="70" fillId="25" borderId="3" xfId="0" applyFont="1" applyFill="1" applyBorder="1" applyAlignment="1">
      <alignment horizontal="left" vertical="center"/>
    </xf>
    <xf numFmtId="0" fontId="70" fillId="15" borderId="3" xfId="0" applyFont="1" applyFill="1" applyBorder="1" applyAlignment="1">
      <alignment horizontal="left" vertical="center"/>
    </xf>
    <xf numFmtId="164" fontId="95" fillId="25" borderId="3" xfId="0" applyNumberFormat="1" applyFont="1" applyFill="1" applyBorder="1" applyAlignment="1">
      <alignment horizontal="center"/>
    </xf>
    <xf numFmtId="164" fontId="74" fillId="25" borderId="3" xfId="0" applyNumberFormat="1" applyFont="1" applyFill="1" applyBorder="1" applyAlignment="1">
      <alignment horizontal="center"/>
    </xf>
    <xf numFmtId="0" fontId="72" fillId="26" borderId="3" xfId="0" applyFont="1" applyFill="1" applyBorder="1" applyAlignment="1">
      <alignment horizontal="center"/>
    </xf>
    <xf numFmtId="0" fontId="32" fillId="26" borderId="3" xfId="0" applyFont="1" applyFill="1" applyBorder="1" applyAlignment="1">
      <alignment horizontal="center"/>
    </xf>
    <xf numFmtId="0" fontId="32" fillId="26" borderId="3" xfId="0" applyFont="1" applyFill="1" applyBorder="1"/>
    <xf numFmtId="0" fontId="32" fillId="3" borderId="3" xfId="0" applyFont="1" applyFill="1" applyBorder="1" applyAlignment="1">
      <alignment horizontal="center"/>
    </xf>
    <xf numFmtId="0" fontId="73" fillId="27" borderId="3" xfId="0" applyFont="1" applyFill="1" applyBorder="1" applyAlignment="1">
      <alignment horizontal="center" vertical="center" wrapText="1"/>
    </xf>
    <xf numFmtId="0" fontId="40" fillId="25" borderId="3" xfId="0" applyFont="1" applyFill="1" applyBorder="1" applyAlignment="1">
      <alignment horizontal="left" vertical="center"/>
    </xf>
    <xf numFmtId="0" fontId="70" fillId="28" borderId="3" xfId="0" applyFont="1" applyFill="1" applyBorder="1" applyAlignment="1">
      <alignment horizontal="left" vertical="center"/>
    </xf>
    <xf numFmtId="0" fontId="73" fillId="27" borderId="3" xfId="0" applyFont="1" applyFill="1" applyBorder="1" applyAlignment="1">
      <alignment horizontal="left" vertical="center"/>
    </xf>
    <xf numFmtId="0" fontId="32" fillId="29" borderId="3" xfId="0" applyFont="1" applyFill="1" applyBorder="1" applyAlignment="1">
      <alignment horizontal="center" vertical="center"/>
    </xf>
    <xf numFmtId="0" fontId="72" fillId="26" borderId="3" xfId="0" applyFont="1" applyFill="1" applyBorder="1"/>
    <xf numFmtId="0" fontId="71" fillId="25" borderId="0" xfId="0" applyFont="1" applyFill="1" applyAlignment="1">
      <alignment horizontal="left" vertical="center"/>
    </xf>
    <xf numFmtId="0" fontId="70" fillId="26" borderId="3" xfId="0" applyFont="1" applyFill="1" applyBorder="1" applyAlignment="1">
      <alignment horizontal="left" vertical="center"/>
    </xf>
    <xf numFmtId="0" fontId="72" fillId="3" borderId="20" xfId="0" applyFont="1" applyFill="1" applyBorder="1" applyAlignment="1">
      <alignment horizontal="center"/>
    </xf>
    <xf numFmtId="0" fontId="72" fillId="26" borderId="20" xfId="0" applyFont="1" applyFill="1" applyBorder="1" applyAlignment="1">
      <alignment horizontal="center"/>
    </xf>
    <xf numFmtId="0" fontId="72" fillId="26" borderId="20" xfId="0" applyFont="1" applyFill="1" applyBorder="1"/>
    <xf numFmtId="0" fontId="32" fillId="3" borderId="20" xfId="0" applyFont="1" applyFill="1" applyBorder="1" applyAlignment="1">
      <alignment horizontal="center"/>
    </xf>
    <xf numFmtId="0" fontId="73" fillId="3" borderId="3" xfId="0" applyFont="1" applyFill="1" applyBorder="1" applyAlignment="1">
      <alignment horizontal="center" vertical="center" wrapText="1"/>
    </xf>
    <xf numFmtId="0" fontId="40" fillId="3" borderId="3" xfId="0" applyFont="1" applyFill="1" applyBorder="1" applyAlignment="1">
      <alignment horizontal="left" vertical="center"/>
    </xf>
    <xf numFmtId="0" fontId="70" fillId="3" borderId="3" xfId="0" applyFont="1" applyFill="1" applyBorder="1" applyAlignment="1">
      <alignment horizontal="left" vertical="center"/>
    </xf>
    <xf numFmtId="164" fontId="95" fillId="3" borderId="3" xfId="0" applyNumberFormat="1" applyFont="1" applyFill="1" applyBorder="1" applyAlignment="1">
      <alignment horizontal="center"/>
    </xf>
    <xf numFmtId="164" fontId="74" fillId="3" borderId="3" xfId="0" applyNumberFormat="1" applyFont="1" applyFill="1" applyBorder="1" applyAlignment="1">
      <alignment horizontal="center"/>
    </xf>
    <xf numFmtId="0" fontId="73" fillId="3" borderId="3" xfId="2" applyFont="1" applyFill="1" applyBorder="1" applyAlignment="1">
      <alignment horizontal="left" vertical="center"/>
    </xf>
    <xf numFmtId="0" fontId="72" fillId="3" borderId="1" xfId="0" applyFont="1" applyFill="1" applyBorder="1" applyAlignment="1">
      <alignment horizontal="center"/>
    </xf>
    <xf numFmtId="0" fontId="72" fillId="30" borderId="1" xfId="0" applyFont="1" applyFill="1" applyBorder="1" applyAlignment="1">
      <alignment horizontal="center"/>
    </xf>
    <xf numFmtId="0" fontId="32" fillId="30" borderId="3" xfId="0" applyFont="1" applyFill="1" applyBorder="1" applyAlignment="1">
      <alignment horizontal="center" vertical="center"/>
    </xf>
    <xf numFmtId="0" fontId="32" fillId="30" borderId="23" xfId="0" applyFont="1" applyFill="1" applyBorder="1" applyAlignment="1">
      <alignment horizontal="center" vertical="center"/>
    </xf>
    <xf numFmtId="0" fontId="32" fillId="30" borderId="23" xfId="0" applyFont="1" applyFill="1" applyBorder="1" applyAlignment="1">
      <alignment vertical="center"/>
    </xf>
    <xf numFmtId="0" fontId="72" fillId="30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72" fillId="31" borderId="3" xfId="0" applyFont="1" applyFill="1" applyBorder="1" applyAlignment="1">
      <alignment horizontal="center"/>
    </xf>
    <xf numFmtId="0" fontId="32" fillId="31" borderId="3" xfId="0" applyFont="1" applyFill="1" applyBorder="1" applyAlignment="1">
      <alignment horizontal="center"/>
    </xf>
    <xf numFmtId="0" fontId="72" fillId="3" borderId="21" xfId="0" applyFont="1" applyFill="1" applyBorder="1" applyAlignment="1">
      <alignment horizontal="center"/>
    </xf>
    <xf numFmtId="0" fontId="72" fillId="26" borderId="21" xfId="0" applyFont="1" applyFill="1" applyBorder="1" applyAlignment="1">
      <alignment horizontal="center"/>
    </xf>
    <xf numFmtId="0" fontId="72" fillId="26" borderId="21" xfId="0" applyFont="1" applyFill="1" applyBorder="1"/>
    <xf numFmtId="0" fontId="32" fillId="3" borderId="21" xfId="0" applyFont="1" applyFill="1" applyBorder="1" applyAlignment="1">
      <alignment horizontal="center"/>
    </xf>
    <xf numFmtId="0" fontId="73" fillId="3" borderId="3" xfId="0" applyFont="1" applyFill="1" applyBorder="1" applyAlignment="1">
      <alignment horizontal="left" vertical="center"/>
    </xf>
    <xf numFmtId="164" fontId="74" fillId="3" borderId="3" xfId="0" applyNumberFormat="1" applyFont="1" applyFill="1" applyBorder="1" applyAlignment="1">
      <alignment horizontal="center" wrapText="1"/>
    </xf>
    <xf numFmtId="49" fontId="40" fillId="32" borderId="3" xfId="2" applyNumberFormat="1" applyFont="1" applyFill="1" applyBorder="1" applyAlignment="1">
      <alignment horizontal="left" vertical="center"/>
    </xf>
    <xf numFmtId="0" fontId="32" fillId="33" borderId="3" xfId="0" applyFont="1" applyFill="1" applyBorder="1" applyAlignment="1">
      <alignment horizontal="center" vertical="center"/>
    </xf>
    <xf numFmtId="0" fontId="32" fillId="34" borderId="3" xfId="0" applyFont="1" applyFill="1" applyBorder="1" applyAlignment="1">
      <alignment vertical="center"/>
    </xf>
    <xf numFmtId="0" fontId="32" fillId="34" borderId="3" xfId="0" applyFont="1" applyFill="1" applyBorder="1" applyAlignment="1">
      <alignment horizontal="center" vertical="center"/>
    </xf>
    <xf numFmtId="0" fontId="72" fillId="3" borderId="3" xfId="0" applyFont="1" applyFill="1" applyBorder="1" applyAlignment="1">
      <alignment horizontal="center" vertical="center"/>
    </xf>
    <xf numFmtId="0" fontId="72" fillId="26" borderId="3" xfId="0" applyFont="1" applyFill="1" applyBorder="1" applyAlignment="1">
      <alignment horizontal="center" vertical="center"/>
    </xf>
    <xf numFmtId="0" fontId="95" fillId="3" borderId="3" xfId="0" applyFont="1" applyFill="1" applyBorder="1" applyAlignment="1">
      <alignment horizontal="left" vertical="center"/>
    </xf>
    <xf numFmtId="0" fontId="71" fillId="3" borderId="3" xfId="0" applyFont="1" applyFill="1" applyBorder="1" applyAlignment="1">
      <alignment horizontal="left" vertical="center"/>
    </xf>
    <xf numFmtId="0" fontId="74" fillId="3" borderId="3" xfId="2" applyFont="1" applyFill="1" applyBorder="1" applyAlignment="1">
      <alignment horizontal="left" vertical="center"/>
    </xf>
    <xf numFmtId="0" fontId="40" fillId="25" borderId="3" xfId="0" applyFont="1" applyFill="1" applyBorder="1" applyAlignment="1">
      <alignment horizontal="left" vertical="center" wrapText="1"/>
    </xf>
    <xf numFmtId="0" fontId="70" fillId="25" borderId="3" xfId="0" applyFont="1" applyFill="1" applyBorder="1" applyAlignment="1">
      <alignment horizontal="left" vertical="center" wrapText="1"/>
    </xf>
    <xf numFmtId="0" fontId="40" fillId="15" borderId="3" xfId="0" applyFont="1" applyFill="1" applyBorder="1" applyAlignment="1">
      <alignment horizontal="left" vertical="center" wrapText="1"/>
    </xf>
    <xf numFmtId="164" fontId="95" fillId="25" borderId="3" xfId="0" applyNumberFormat="1" applyFont="1" applyFill="1" applyBorder="1" applyAlignment="1">
      <alignment horizontal="center" wrapText="1"/>
    </xf>
    <xf numFmtId="0" fontId="73" fillId="27" borderId="3" xfId="0" applyFont="1" applyFill="1" applyBorder="1" applyAlignment="1">
      <alignment horizontal="left" vertical="center" wrapText="1"/>
    </xf>
    <xf numFmtId="0" fontId="71" fillId="25" borderId="3" xfId="0" applyFont="1" applyFill="1" applyBorder="1" applyAlignment="1">
      <alignment horizontal="left" vertical="center"/>
    </xf>
    <xf numFmtId="164" fontId="74" fillId="25" borderId="3" xfId="0" applyNumberFormat="1" applyFont="1" applyFill="1" applyBorder="1" applyAlignment="1">
      <alignment horizontal="center" wrapText="1"/>
    </xf>
    <xf numFmtId="49" fontId="40" fillId="35" borderId="3" xfId="2" applyNumberFormat="1" applyFont="1" applyFill="1" applyBorder="1" applyAlignment="1">
      <alignment horizontal="left" vertical="center"/>
    </xf>
    <xf numFmtId="0" fontId="32" fillId="33" borderId="3" xfId="0" applyFont="1" applyFill="1" applyBorder="1" applyAlignment="1">
      <alignment horizontal="center"/>
    </xf>
    <xf numFmtId="0" fontId="72" fillId="33" borderId="3" xfId="0" applyFont="1" applyFill="1" applyBorder="1" applyAlignment="1">
      <alignment horizontal="center"/>
    </xf>
    <xf numFmtId="0" fontId="73" fillId="36" borderId="3" xfId="0" applyFont="1" applyFill="1" applyBorder="1" applyAlignment="1">
      <alignment horizontal="center" vertical="center"/>
    </xf>
    <xf numFmtId="0" fontId="40" fillId="32" borderId="3" xfId="2" applyFont="1" applyFill="1" applyBorder="1" applyAlignment="1">
      <alignment horizontal="left" vertical="center"/>
    </xf>
    <xf numFmtId="0" fontId="40" fillId="25" borderId="3" xfId="0" applyFont="1" applyFill="1" applyBorder="1" applyAlignment="1">
      <alignment horizontal="center" vertical="center" wrapText="1"/>
    </xf>
    <xf numFmtId="49" fontId="40" fillId="35" borderId="3" xfId="2" applyNumberFormat="1" applyFont="1" applyFill="1" applyBorder="1" applyAlignment="1">
      <alignment horizontal="left" vertical="center" wrapText="1"/>
    </xf>
    <xf numFmtId="0" fontId="40" fillId="26" borderId="3" xfId="0" applyFont="1" applyFill="1" applyBorder="1" applyAlignment="1">
      <alignment horizontal="left" vertical="center"/>
    </xf>
    <xf numFmtId="49" fontId="40" fillId="35" borderId="24" xfId="2" applyNumberFormat="1" applyFont="1" applyFill="1" applyBorder="1" applyAlignment="1">
      <alignment horizontal="left" vertical="center"/>
    </xf>
    <xf numFmtId="0" fontId="40" fillId="3" borderId="3" xfId="0" applyFont="1" applyFill="1" applyBorder="1" applyAlignment="1">
      <alignment horizontal="left" vertical="center" wrapText="1"/>
    </xf>
    <xf numFmtId="0" fontId="70" fillId="3" borderId="3" xfId="0" applyFont="1" applyFill="1" applyBorder="1" applyAlignment="1">
      <alignment horizontal="left" vertical="center" wrapText="1"/>
    </xf>
    <xf numFmtId="49" fontId="40" fillId="32" borderId="3" xfId="2" applyNumberFormat="1" applyFont="1" applyFill="1" applyBorder="1" applyAlignment="1">
      <alignment horizontal="left" vertical="center" wrapText="1"/>
    </xf>
    <xf numFmtId="0" fontId="73" fillId="25" borderId="3" xfId="0" applyFont="1" applyFill="1" applyBorder="1" applyAlignment="1">
      <alignment horizontal="center" vertical="center" wrapText="1"/>
    </xf>
    <xf numFmtId="0" fontId="71" fillId="25" borderId="3" xfId="0" applyFont="1" applyFill="1" applyBorder="1" applyAlignment="1">
      <alignment horizontal="left" vertical="center" wrapText="1"/>
    </xf>
    <xf numFmtId="0" fontId="95" fillId="15" borderId="3" xfId="0" applyFont="1" applyFill="1" applyBorder="1" applyAlignment="1">
      <alignment horizontal="left" vertical="center" wrapText="1"/>
    </xf>
    <xf numFmtId="49" fontId="95" fillId="35" borderId="3" xfId="2" applyNumberFormat="1" applyFont="1" applyFill="1" applyBorder="1" applyAlignment="1">
      <alignment horizontal="left" vertical="center" wrapText="1"/>
    </xf>
    <xf numFmtId="49" fontId="33" fillId="35" borderId="3" xfId="2" applyNumberFormat="1" applyFont="1" applyFill="1" applyBorder="1" applyAlignment="1">
      <alignment horizontal="left" vertical="center" wrapText="1"/>
    </xf>
    <xf numFmtId="0" fontId="72" fillId="33" borderId="3" xfId="0" applyFont="1" applyFill="1" applyBorder="1" applyAlignment="1">
      <alignment horizontal="center" vertical="center"/>
    </xf>
    <xf numFmtId="0" fontId="96" fillId="3" borderId="3" xfId="0" applyFont="1" applyFill="1" applyBorder="1" applyAlignment="1">
      <alignment horizontal="center" vertical="center"/>
    </xf>
    <xf numFmtId="0" fontId="70" fillId="26" borderId="3" xfId="0" applyFont="1" applyFill="1" applyBorder="1" applyAlignment="1">
      <alignment horizontal="left" vertical="center" wrapText="1"/>
    </xf>
    <xf numFmtId="0" fontId="71" fillId="3" borderId="3" xfId="0" applyFont="1" applyFill="1" applyBorder="1" applyAlignment="1">
      <alignment horizontal="left" vertical="center" wrapText="1"/>
    </xf>
    <xf numFmtId="0" fontId="95" fillId="3" borderId="3" xfId="0" applyFont="1" applyFill="1" applyBorder="1" applyAlignment="1">
      <alignment horizontal="left" vertical="center" wrapText="1"/>
    </xf>
    <xf numFmtId="49" fontId="95" fillId="32" borderId="3" xfId="2" applyNumberFormat="1" applyFont="1" applyFill="1" applyBorder="1" applyAlignment="1">
      <alignment horizontal="left" vertical="center" wrapText="1"/>
    </xf>
    <xf numFmtId="0" fontId="70" fillId="37" borderId="51" xfId="0" applyFont="1" applyFill="1" applyBorder="1"/>
    <xf numFmtId="0" fontId="32" fillId="37" borderId="52" xfId="0" applyFont="1" applyFill="1" applyBorder="1"/>
    <xf numFmtId="0" fontId="32" fillId="38" borderId="0" xfId="0" applyFont="1" applyFill="1"/>
    <xf numFmtId="0" fontId="72" fillId="38" borderId="0" xfId="0" applyFont="1" applyFill="1"/>
    <xf numFmtId="0" fontId="70" fillId="39" borderId="53" xfId="0" applyFont="1" applyFill="1" applyBorder="1"/>
    <xf numFmtId="0" fontId="70" fillId="39" borderId="54" xfId="0" applyFont="1" applyFill="1" applyBorder="1"/>
    <xf numFmtId="0" fontId="32" fillId="0" borderId="53" xfId="0" applyFont="1" applyBorder="1"/>
    <xf numFmtId="0" fontId="32" fillId="0" borderId="55" xfId="0" applyFont="1" applyBorder="1"/>
    <xf numFmtId="0" fontId="70" fillId="40" borderId="56" xfId="0" applyFont="1" applyFill="1" applyBorder="1"/>
    <xf numFmtId="0" fontId="32" fillId="40" borderId="57" xfId="0" applyFont="1" applyFill="1" applyBorder="1"/>
    <xf numFmtId="0" fontId="70" fillId="11" borderId="58" xfId="0" applyFont="1" applyFill="1" applyBorder="1"/>
    <xf numFmtId="0" fontId="32" fillId="11" borderId="29" xfId="0" applyFont="1" applyFill="1" applyBorder="1"/>
    <xf numFmtId="0" fontId="0" fillId="0" borderId="0" xfId="0" applyFont="1"/>
    <xf numFmtId="0" fontId="82" fillId="3" borderId="3" xfId="0" applyFont="1" applyFill="1" applyBorder="1" applyAlignment="1">
      <alignment horizontal="left" vertical="center"/>
    </xf>
    <xf numFmtId="0" fontId="36" fillId="3" borderId="100" xfId="0" applyFont="1" applyFill="1" applyBorder="1" applyAlignment="1">
      <alignment horizontal="left" vertical="center"/>
    </xf>
    <xf numFmtId="0" fontId="36" fillId="3" borderId="5" xfId="0" applyFont="1" applyFill="1" applyBorder="1" applyAlignment="1">
      <alignment horizontal="left" vertical="center"/>
    </xf>
    <xf numFmtId="0" fontId="36" fillId="3" borderId="20" xfId="0" applyFont="1" applyFill="1" applyBorder="1" applyAlignment="1">
      <alignment horizontal="left" vertical="center"/>
    </xf>
    <xf numFmtId="0" fontId="36" fillId="3" borderId="20" xfId="0" applyFont="1" applyFill="1" applyBorder="1" applyAlignment="1">
      <alignment horizontal="center" vertical="center"/>
    </xf>
    <xf numFmtId="0" fontId="36" fillId="49" borderId="3" xfId="0" applyFont="1" applyFill="1" applyBorder="1" applyAlignment="1">
      <alignment horizontal="center" vertical="center"/>
    </xf>
    <xf numFmtId="18" fontId="36" fillId="3" borderId="21" xfId="0" applyNumberFormat="1" applyFont="1" applyFill="1" applyBorder="1" applyAlignment="1">
      <alignment horizontal="center" vertical="center"/>
    </xf>
    <xf numFmtId="20" fontId="36" fillId="3" borderId="57" xfId="0" applyNumberFormat="1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46" borderId="21" xfId="0" applyFont="1" applyFill="1" applyBorder="1" applyAlignment="1">
      <alignment horizontal="center" vertical="center"/>
    </xf>
    <xf numFmtId="0" fontId="30" fillId="41" borderId="19" xfId="0" applyFont="1" applyFill="1" applyBorder="1" applyAlignment="1">
      <alignment horizontal="center" vertical="center"/>
    </xf>
    <xf numFmtId="0" fontId="30" fillId="46" borderId="15" xfId="0" applyFont="1" applyFill="1" applyBorder="1" applyAlignment="1">
      <alignment horizontal="center" vertical="center"/>
    </xf>
    <xf numFmtId="0" fontId="30" fillId="48" borderId="43" xfId="0" applyFont="1" applyFill="1" applyBorder="1" applyAlignment="1">
      <alignment horizontal="center" vertical="center"/>
    </xf>
    <xf numFmtId="0" fontId="97" fillId="50" borderId="15" xfId="0" applyFont="1" applyFill="1" applyBorder="1" applyAlignment="1">
      <alignment horizontal="center" vertical="center"/>
    </xf>
    <xf numFmtId="0" fontId="36" fillId="46" borderId="36" xfId="0" applyFont="1" applyFill="1" applyBorder="1" applyAlignment="1">
      <alignment horizontal="center" vertical="center"/>
    </xf>
    <xf numFmtId="0" fontId="30" fillId="0" borderId="0" xfId="0" applyFont="1"/>
    <xf numFmtId="0" fontId="30" fillId="3" borderId="106" xfId="0" applyFont="1" applyFill="1" applyBorder="1" applyAlignment="1">
      <alignment horizontal="left" vertical="center"/>
    </xf>
    <xf numFmtId="0" fontId="30" fillId="3" borderId="99" xfId="0" applyFont="1" applyFill="1" applyBorder="1" applyAlignment="1">
      <alignment horizontal="left" vertical="center"/>
    </xf>
    <xf numFmtId="0" fontId="30" fillId="3" borderId="97" xfId="0" applyFont="1" applyFill="1" applyBorder="1" applyAlignment="1">
      <alignment horizontal="left" vertical="center"/>
    </xf>
    <xf numFmtId="0" fontId="36" fillId="3" borderId="76" xfId="0" applyFont="1" applyFill="1" applyBorder="1" applyAlignment="1">
      <alignment horizontal="center" vertical="center"/>
    </xf>
    <xf numFmtId="0" fontId="36" fillId="3" borderId="58" xfId="0" applyFont="1" applyFill="1" applyBorder="1" applyAlignment="1">
      <alignment horizontal="left" vertical="center"/>
    </xf>
    <xf numFmtId="0" fontId="36" fillId="3" borderId="102" xfId="0" applyFont="1" applyFill="1" applyBorder="1" applyAlignment="1">
      <alignment horizontal="left" vertical="center"/>
    </xf>
    <xf numFmtId="0" fontId="36" fillId="3" borderId="28" xfId="0" applyFont="1" applyFill="1" applyBorder="1" applyAlignment="1">
      <alignment horizontal="left" vertical="center"/>
    </xf>
    <xf numFmtId="0" fontId="36" fillId="3" borderId="28" xfId="0" applyFont="1" applyFill="1" applyBorder="1" applyAlignment="1">
      <alignment horizontal="center" vertical="center"/>
    </xf>
    <xf numFmtId="0" fontId="36" fillId="49" borderId="28" xfId="0" applyFont="1" applyFill="1" applyBorder="1" applyAlignment="1">
      <alignment horizontal="center" vertical="center"/>
    </xf>
    <xf numFmtId="0" fontId="30" fillId="12" borderId="31" xfId="0" applyFont="1" applyFill="1" applyBorder="1" applyAlignment="1">
      <alignment horizontal="center" vertical="center"/>
    </xf>
    <xf numFmtId="0" fontId="36" fillId="3" borderId="51" xfId="0" applyFont="1" applyFill="1" applyBorder="1" applyAlignment="1">
      <alignment horizontal="left" vertical="center"/>
    </xf>
    <xf numFmtId="0" fontId="36" fillId="3" borderId="94" xfId="0" applyFont="1" applyFill="1" applyBorder="1" applyAlignment="1">
      <alignment horizontal="left" vertical="center"/>
    </xf>
    <xf numFmtId="0" fontId="36" fillId="3" borderId="95" xfId="0" applyFont="1" applyFill="1" applyBorder="1" applyAlignment="1">
      <alignment horizontal="left" vertical="center"/>
    </xf>
    <xf numFmtId="0" fontId="36" fillId="3" borderId="31" xfId="0" applyFont="1" applyFill="1" applyBorder="1" applyAlignment="1">
      <alignment horizontal="center" vertical="center"/>
    </xf>
    <xf numFmtId="0" fontId="36" fillId="49" borderId="31" xfId="0" applyFont="1" applyFill="1" applyBorder="1" applyAlignment="1">
      <alignment horizontal="center" vertical="center"/>
    </xf>
    <xf numFmtId="0" fontId="36" fillId="3" borderId="56" xfId="0" applyFont="1" applyFill="1" applyBorder="1" applyAlignment="1">
      <alignment horizontal="left" vertical="center"/>
    </xf>
    <xf numFmtId="0" fontId="36" fillId="3" borderId="2" xfId="0" applyFont="1" applyFill="1" applyBorder="1" applyAlignment="1">
      <alignment horizontal="left" vertical="center"/>
    </xf>
    <xf numFmtId="0" fontId="36" fillId="3" borderId="3" xfId="0" applyFont="1" applyFill="1" applyBorder="1" applyAlignment="1">
      <alignment horizontal="left" vertical="center"/>
    </xf>
    <xf numFmtId="0" fontId="36" fillId="3" borderId="3" xfId="0" applyFont="1" applyFill="1" applyBorder="1" applyAlignment="1">
      <alignment horizontal="center" vertical="center"/>
    </xf>
    <xf numFmtId="18" fontId="36" fillId="3" borderId="3" xfId="0" applyNumberFormat="1" applyFont="1" applyFill="1" applyBorder="1" applyAlignment="1">
      <alignment horizontal="center" vertical="center"/>
    </xf>
    <xf numFmtId="0" fontId="97" fillId="51" borderId="31" xfId="0" applyFont="1" applyFill="1" applyBorder="1" applyAlignment="1">
      <alignment horizontal="center" vertical="center"/>
    </xf>
    <xf numFmtId="0" fontId="48" fillId="47" borderId="59" xfId="0" applyFont="1" applyFill="1" applyBorder="1" applyAlignment="1">
      <alignment horizontal="center" vertical="center" wrapText="1"/>
    </xf>
    <xf numFmtId="0" fontId="48" fillId="47" borderId="27" xfId="0" applyFont="1" applyFill="1" applyBorder="1" applyAlignment="1">
      <alignment horizontal="center" vertical="center" wrapText="1"/>
    </xf>
    <xf numFmtId="0" fontId="48" fillId="3" borderId="93" xfId="0" applyFont="1" applyFill="1" applyBorder="1" applyAlignment="1">
      <alignment horizontal="center" vertical="center"/>
    </xf>
    <xf numFmtId="0" fontId="48" fillId="3" borderId="61" xfId="0" applyFont="1" applyFill="1" applyBorder="1" applyAlignment="1">
      <alignment horizontal="center" vertical="center"/>
    </xf>
    <xf numFmtId="0" fontId="48" fillId="3" borderId="64" xfId="0" applyFont="1" applyFill="1" applyBorder="1" applyAlignment="1">
      <alignment horizontal="center" vertical="center"/>
    </xf>
    <xf numFmtId="0" fontId="29" fillId="0" borderId="0" xfId="0" applyFont="1"/>
    <xf numFmtId="0" fontId="36" fillId="49" borderId="21" xfId="0" applyFont="1" applyFill="1" applyBorder="1" applyAlignment="1">
      <alignment horizontal="center" vertical="center"/>
    </xf>
    <xf numFmtId="20" fontId="36" fillId="3" borderId="31" xfId="0" applyNumberFormat="1" applyFont="1" applyFill="1" applyBorder="1" applyAlignment="1">
      <alignment horizontal="center" vertical="center"/>
    </xf>
    <xf numFmtId="20" fontId="36" fillId="3" borderId="32" xfId="0" applyNumberFormat="1" applyFont="1" applyFill="1" applyBorder="1" applyAlignment="1">
      <alignment horizontal="center" vertical="center"/>
    </xf>
    <xf numFmtId="0" fontId="30" fillId="12" borderId="54" xfId="0" applyFont="1" applyFill="1" applyBorder="1" applyAlignment="1">
      <alignment horizontal="center" vertical="center"/>
    </xf>
    <xf numFmtId="0" fontId="36" fillId="3" borderId="75" xfId="0" applyFont="1" applyFill="1" applyBorder="1" applyAlignment="1">
      <alignment horizontal="left" vertical="center"/>
    </xf>
    <xf numFmtId="20" fontId="36" fillId="3" borderId="3" xfId="0" applyNumberFormat="1" applyFont="1" applyFill="1" applyBorder="1" applyAlignment="1">
      <alignment horizontal="center" vertical="center"/>
    </xf>
    <xf numFmtId="20" fontId="36" fillId="3" borderId="98" xfId="0" applyNumberFormat="1" applyFont="1" applyFill="1" applyBorder="1" applyAlignment="1">
      <alignment horizontal="center" vertical="center"/>
    </xf>
    <xf numFmtId="20" fontId="36" fillId="3" borderId="21" xfId="0" applyNumberFormat="1" applyFont="1" applyFill="1" applyBorder="1" applyAlignment="1">
      <alignment horizontal="center" vertical="center"/>
    </xf>
    <xf numFmtId="0" fontId="36" fillId="3" borderId="67" xfId="0" applyFont="1" applyFill="1" applyBorder="1" applyAlignment="1">
      <alignment horizontal="left" vertical="center"/>
    </xf>
    <xf numFmtId="0" fontId="36" fillId="3" borderId="15" xfId="0" applyFont="1" applyFill="1" applyBorder="1" applyAlignment="1">
      <alignment horizontal="left" vertical="center"/>
    </xf>
    <xf numFmtId="0" fontId="36" fillId="3" borderId="21" xfId="0" applyFont="1" applyFill="1" applyBorder="1" applyAlignment="1">
      <alignment horizontal="left" vertical="center"/>
    </xf>
    <xf numFmtId="0" fontId="36" fillId="3" borderId="21" xfId="0" applyFont="1" applyFill="1" applyBorder="1" applyAlignment="1">
      <alignment horizontal="center" vertical="center"/>
    </xf>
    <xf numFmtId="0" fontId="30" fillId="3" borderId="58" xfId="0" applyFont="1" applyFill="1" applyBorder="1" applyAlignment="1">
      <alignment horizontal="left" vertical="center"/>
    </xf>
    <xf numFmtId="0" fontId="30" fillId="3" borderId="12" xfId="0" applyFont="1" applyFill="1" applyBorder="1" applyAlignment="1">
      <alignment horizontal="left" vertical="center"/>
    </xf>
    <xf numFmtId="0" fontId="30" fillId="3" borderId="34" xfId="0" applyFont="1" applyFill="1" applyBorder="1" applyAlignment="1">
      <alignment horizontal="left" vertical="center"/>
    </xf>
    <xf numFmtId="0" fontId="36" fillId="3" borderId="34" xfId="0" applyFont="1" applyFill="1" applyBorder="1" applyAlignment="1">
      <alignment horizontal="center" vertical="center"/>
    </xf>
    <xf numFmtId="0" fontId="36" fillId="49" borderId="34" xfId="0" applyFont="1" applyFill="1" applyBorder="1" applyAlignment="1">
      <alignment horizontal="center" vertical="center"/>
    </xf>
    <xf numFmtId="20" fontId="36" fillId="3" borderId="34" xfId="0" applyNumberFormat="1" applyFont="1" applyFill="1" applyBorder="1" applyAlignment="1">
      <alignment horizontal="center" vertical="center"/>
    </xf>
    <xf numFmtId="20" fontId="36" fillId="3" borderId="96" xfId="0" applyNumberFormat="1" applyFont="1" applyFill="1" applyBorder="1" applyAlignment="1">
      <alignment horizontal="center" vertical="center"/>
    </xf>
    <xf numFmtId="0" fontId="30" fillId="12" borderId="92" xfId="0" applyFont="1" applyFill="1" applyBorder="1" applyAlignment="1">
      <alignment horizontal="center" vertical="center"/>
    </xf>
    <xf numFmtId="0" fontId="35" fillId="20" borderId="26" xfId="0" applyFont="1" applyFill="1" applyBorder="1" applyAlignment="1">
      <alignment vertical="center"/>
    </xf>
    <xf numFmtId="0" fontId="30" fillId="0" borderId="39" xfId="0" applyFont="1" applyBorder="1"/>
    <xf numFmtId="0" fontId="36" fillId="3" borderId="31" xfId="0" applyFont="1" applyFill="1" applyBorder="1" applyAlignment="1">
      <alignment horizontal="left" vertical="center"/>
    </xf>
    <xf numFmtId="18" fontId="36" fillId="3" borderId="31" xfId="0" applyNumberFormat="1" applyFont="1" applyFill="1" applyBorder="1" applyAlignment="1">
      <alignment horizontal="center" vertical="center"/>
    </xf>
    <xf numFmtId="0" fontId="30" fillId="48" borderId="19" xfId="0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94" xfId="0" applyFont="1" applyBorder="1" applyAlignment="1">
      <alignment horizontal="center" vertical="center"/>
    </xf>
    <xf numFmtId="0" fontId="97" fillId="50" borderId="43" xfId="0" applyFont="1" applyFill="1" applyBorder="1" applyAlignment="1">
      <alignment horizontal="center" vertical="center"/>
    </xf>
    <xf numFmtId="0" fontId="30" fillId="0" borderId="17" xfId="0" applyFont="1" applyBorder="1"/>
    <xf numFmtId="0" fontId="30" fillId="0" borderId="12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48" borderId="54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left" vertical="center"/>
    </xf>
    <xf numFmtId="0" fontId="30" fillId="48" borderId="3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98" fillId="0" borderId="15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30" fillId="3" borderId="102" xfId="0" applyFont="1" applyFill="1" applyBorder="1" applyAlignment="1">
      <alignment horizontal="left" vertical="center"/>
    </xf>
    <xf numFmtId="0" fontId="30" fillId="3" borderId="28" xfId="0" applyFont="1" applyFill="1" applyBorder="1" applyAlignment="1">
      <alignment horizontal="left" vertical="center"/>
    </xf>
    <xf numFmtId="18" fontId="36" fillId="3" borderId="34" xfId="0" applyNumberFormat="1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0" fillId="0" borderId="82" xfId="0" applyFont="1" applyBorder="1"/>
    <xf numFmtId="0" fontId="0" fillId="0" borderId="77" xfId="0" applyFont="1" applyBorder="1"/>
    <xf numFmtId="0" fontId="0" fillId="0" borderId="77" xfId="0" applyFont="1" applyBorder="1" applyAlignment="1">
      <alignment horizontal="center"/>
    </xf>
    <xf numFmtId="0" fontId="0" fillId="0" borderId="78" xfId="0" applyFont="1" applyBorder="1"/>
    <xf numFmtId="0" fontId="0" fillId="0" borderId="81" xfId="0" applyFont="1" applyBorder="1"/>
    <xf numFmtId="0" fontId="0" fillId="41" borderId="68" xfId="0" applyFont="1" applyFill="1" applyBorder="1"/>
    <xf numFmtId="0" fontId="0" fillId="41" borderId="0" xfId="0" applyFont="1" applyFill="1"/>
    <xf numFmtId="0" fontId="0" fillId="41" borderId="41" xfId="0" applyFont="1" applyFill="1" applyBorder="1"/>
    <xf numFmtId="0" fontId="0" fillId="5" borderId="53" xfId="0" applyFont="1" applyFill="1" applyBorder="1" applyAlignment="1">
      <alignment horizontal="left" vertical="center"/>
    </xf>
    <xf numFmtId="0" fontId="0" fillId="5" borderId="23" xfId="0" applyFont="1" applyFill="1" applyBorder="1" applyAlignment="1">
      <alignment horizontal="left" vertical="center"/>
    </xf>
    <xf numFmtId="0" fontId="0" fillId="5" borderId="66" xfId="0" applyFont="1" applyFill="1" applyBorder="1" applyAlignment="1">
      <alignment horizontal="left" vertical="center"/>
    </xf>
    <xf numFmtId="0" fontId="30" fillId="0" borderId="0" xfId="0" applyFont="1" applyAlignment="1"/>
    <xf numFmtId="0" fontId="100" fillId="10" borderId="112" xfId="0" applyFont="1" applyFill="1" applyBorder="1" applyAlignment="1">
      <alignment horizontal="center" vertical="center" wrapText="1"/>
    </xf>
    <xf numFmtId="0" fontId="101" fillId="10" borderId="113" xfId="0" applyFont="1" applyFill="1" applyBorder="1"/>
    <xf numFmtId="0" fontId="101" fillId="10" borderId="114" xfId="0" applyFont="1" applyFill="1" applyBorder="1"/>
    <xf numFmtId="0" fontId="100" fillId="10" borderId="117" xfId="0" applyFont="1" applyFill="1" applyBorder="1" applyAlignment="1">
      <alignment horizontal="center" vertical="center" wrapText="1"/>
    </xf>
    <xf numFmtId="0" fontId="102" fillId="0" borderId="117" xfId="0" applyFont="1" applyFill="1" applyBorder="1" applyAlignment="1">
      <alignment horizontal="center" vertical="center" wrapText="1"/>
    </xf>
    <xf numFmtId="0" fontId="100" fillId="10" borderId="118" xfId="0" applyFont="1" applyFill="1" applyBorder="1" applyAlignment="1">
      <alignment horizontal="center" vertical="center" wrapText="1"/>
    </xf>
    <xf numFmtId="0" fontId="102" fillId="0" borderId="118" xfId="0" applyFont="1" applyFill="1" applyBorder="1" applyAlignment="1">
      <alignment horizontal="center" vertical="center" wrapText="1"/>
    </xf>
    <xf numFmtId="0" fontId="102" fillId="0" borderId="116" xfId="0" applyFont="1" applyFill="1" applyBorder="1" applyAlignment="1">
      <alignment horizontal="center" vertical="center" wrapText="1"/>
    </xf>
    <xf numFmtId="0" fontId="103" fillId="0" borderId="115" xfId="0" applyFont="1" applyBorder="1" applyAlignment="1">
      <alignment horizontal="center" vertical="center" wrapText="1"/>
    </xf>
    <xf numFmtId="18" fontId="103" fillId="0" borderId="118" xfId="0" applyNumberFormat="1" applyFont="1" applyBorder="1" applyAlignment="1">
      <alignment horizontal="center" vertical="center" wrapText="1"/>
    </xf>
    <xf numFmtId="0" fontId="100" fillId="10" borderId="115" xfId="0" applyFont="1" applyFill="1" applyBorder="1" applyAlignment="1">
      <alignment horizontal="center" vertical="center" wrapText="1"/>
    </xf>
    <xf numFmtId="0" fontId="102" fillId="0" borderId="115" xfId="0" applyFont="1" applyFill="1" applyBorder="1" applyAlignment="1">
      <alignment horizontal="center" vertical="center" wrapText="1"/>
    </xf>
    <xf numFmtId="0" fontId="100" fillId="10" borderId="109" xfId="0" applyFont="1" applyFill="1" applyBorder="1" applyAlignment="1">
      <alignment horizontal="center" vertical="center" wrapText="1"/>
    </xf>
    <xf numFmtId="0" fontId="100" fillId="10" borderId="3" xfId="0" applyFont="1" applyFill="1" applyBorder="1" applyAlignment="1">
      <alignment horizontal="center" vertical="center" wrapText="1"/>
    </xf>
    <xf numFmtId="0" fontId="102" fillId="0" borderId="3" xfId="0" applyFont="1" applyFill="1" applyBorder="1" applyAlignment="1">
      <alignment horizontal="center" vertical="center" wrapText="1"/>
    </xf>
    <xf numFmtId="1" fontId="103" fillId="0" borderId="110" xfId="0" applyNumberFormat="1" applyFont="1" applyFill="1" applyBorder="1" applyAlignment="1">
      <alignment horizontal="center" vertical="center" wrapText="1"/>
    </xf>
    <xf numFmtId="0" fontId="102" fillId="0" borderId="3" xfId="0" applyFont="1" applyBorder="1" applyAlignment="1">
      <alignment horizontal="center" vertical="center" wrapText="1"/>
    </xf>
    <xf numFmtId="18" fontId="103" fillId="0" borderId="113" xfId="0" applyNumberFormat="1" applyFont="1" applyBorder="1" applyAlignment="1">
      <alignment horizontal="center" vertical="center" wrapText="1"/>
    </xf>
    <xf numFmtId="18" fontId="103" fillId="0" borderId="115" xfId="0" applyNumberFormat="1" applyFont="1" applyBorder="1" applyAlignment="1">
      <alignment horizontal="center" vertical="center" wrapText="1"/>
    </xf>
    <xf numFmtId="0" fontId="103" fillId="0" borderId="3" xfId="0" applyFont="1" applyBorder="1" applyAlignment="1">
      <alignment horizontal="center" vertical="center" wrapText="1"/>
    </xf>
    <xf numFmtId="0" fontId="103" fillId="0" borderId="24" xfId="0" applyFont="1" applyBorder="1" applyAlignment="1">
      <alignment horizontal="center" vertical="center" wrapText="1"/>
    </xf>
    <xf numFmtId="0" fontId="102" fillId="0" borderId="1" xfId="0" applyFont="1" applyFill="1" applyBorder="1" applyAlignment="1">
      <alignment horizontal="center" vertical="center" wrapText="1"/>
    </xf>
    <xf numFmtId="0" fontId="102" fillId="0" borderId="2" xfId="0" applyFont="1" applyFill="1" applyBorder="1" applyAlignment="1">
      <alignment horizontal="center" vertical="center" wrapText="1"/>
    </xf>
    <xf numFmtId="0" fontId="103" fillId="0" borderId="3" xfId="0" applyFont="1" applyBorder="1" applyAlignment="1">
      <alignment horizontal="center" vertical="center"/>
    </xf>
    <xf numFmtId="0" fontId="100" fillId="10" borderId="20" xfId="0" applyFont="1" applyFill="1" applyBorder="1" applyAlignment="1">
      <alignment horizontal="center" vertical="center" wrapText="1"/>
    </xf>
    <xf numFmtId="0" fontId="98" fillId="10" borderId="20" xfId="0" applyFont="1" applyFill="1" applyBorder="1" applyAlignment="1"/>
    <xf numFmtId="0" fontId="102" fillId="0" borderId="20" xfId="0" applyFont="1" applyFill="1" applyBorder="1" applyAlignment="1">
      <alignment horizontal="center" vertical="center" wrapText="1"/>
    </xf>
    <xf numFmtId="0" fontId="102" fillId="0" borderId="5" xfId="0" applyFont="1" applyFill="1" applyBorder="1" applyAlignment="1">
      <alignment horizontal="center" vertical="center" wrapText="1"/>
    </xf>
    <xf numFmtId="0" fontId="102" fillId="0" borderId="6" xfId="0" applyFont="1" applyFill="1" applyBorder="1" applyAlignment="1">
      <alignment horizontal="center" vertical="center" wrapText="1"/>
    </xf>
    <xf numFmtId="18" fontId="103" fillId="0" borderId="3" xfId="0" applyNumberFormat="1" applyFont="1" applyBorder="1" applyAlignment="1">
      <alignment horizontal="center" vertical="center" wrapText="1"/>
    </xf>
    <xf numFmtId="0" fontId="38" fillId="0" borderId="3" xfId="0" applyFont="1" applyFill="1" applyBorder="1" applyAlignment="1"/>
    <xf numFmtId="0" fontId="30" fillId="0" borderId="0" xfId="0" applyFont="1" applyFill="1" applyBorder="1" applyAlignment="1"/>
    <xf numFmtId="0" fontId="103" fillId="0" borderId="0" xfId="0" applyFont="1" applyFill="1" applyBorder="1" applyAlignment="1">
      <alignment horizontal="left" vertical="center"/>
    </xf>
    <xf numFmtId="0" fontId="30" fillId="0" borderId="0" xfId="0" applyFont="1" applyBorder="1" applyAlignment="1"/>
    <xf numFmtId="0" fontId="58" fillId="22" borderId="3" xfId="0" applyFont="1" applyFill="1" applyBorder="1" applyAlignment="1">
      <alignment vertical="center" wrapText="1"/>
    </xf>
    <xf numFmtId="0" fontId="58" fillId="3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8" fillId="22" borderId="3" xfId="0" applyFont="1" applyFill="1" applyBorder="1" applyAlignment="1">
      <alignment horizontal="left" vertical="center"/>
    </xf>
    <xf numFmtId="0" fontId="59" fillId="22" borderId="3" xfId="0" applyFont="1" applyFill="1" applyBorder="1" applyAlignment="1">
      <alignment horizontal="left" vertical="center"/>
    </xf>
    <xf numFmtId="49" fontId="58" fillId="22" borderId="2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8" fillId="3" borderId="3" xfId="0" applyFont="1" applyFill="1" applyBorder="1" applyAlignment="1">
      <alignment horizontal="left" vertical="center"/>
    </xf>
    <xf numFmtId="0" fontId="59" fillId="3" borderId="3" xfId="0" applyFont="1" applyFill="1" applyBorder="1" applyAlignment="1">
      <alignment horizontal="left" vertical="center"/>
    </xf>
    <xf numFmtId="0" fontId="59" fillId="3" borderId="3" xfId="0" applyFont="1" applyFill="1" applyBorder="1" applyAlignment="1">
      <alignment vertical="center" wrapText="1"/>
    </xf>
    <xf numFmtId="49" fontId="58" fillId="3" borderId="3" xfId="0" applyNumberFormat="1" applyFont="1" applyFill="1" applyBorder="1" applyAlignment="1">
      <alignment horizontal="left" vertical="center"/>
    </xf>
    <xf numFmtId="0" fontId="58" fillId="3" borderId="122" xfId="0" applyFont="1" applyFill="1" applyBorder="1" applyAlignment="1">
      <alignment horizontal="left" vertical="center"/>
    </xf>
    <xf numFmtId="49" fontId="58" fillId="3" borderId="5" xfId="0" applyNumberFormat="1" applyFont="1" applyFill="1" applyBorder="1" applyAlignment="1">
      <alignment horizontal="left" vertical="center"/>
    </xf>
    <xf numFmtId="0" fontId="59" fillId="22" borderId="3" xfId="0" applyFont="1" applyFill="1" applyBorder="1" applyAlignment="1">
      <alignment vertical="center" wrapText="1"/>
    </xf>
    <xf numFmtId="49" fontId="58" fillId="22" borderId="3" xfId="0" applyNumberFormat="1" applyFont="1" applyFill="1" applyBorder="1" applyAlignment="1">
      <alignment horizontal="left" vertical="center"/>
    </xf>
    <xf numFmtId="0" fontId="59" fillId="3" borderId="24" xfId="0" applyFont="1" applyFill="1" applyBorder="1" applyAlignment="1">
      <alignment horizontal="left" vertical="center"/>
    </xf>
    <xf numFmtId="0" fontId="0" fillId="52" borderId="0" xfId="0" applyFill="1" applyAlignment="1">
      <alignment vertical="center"/>
    </xf>
    <xf numFmtId="0" fontId="60" fillId="3" borderId="122" xfId="0" applyFont="1" applyFill="1" applyBorder="1" applyAlignment="1">
      <alignment horizontal="left" vertical="center"/>
    </xf>
    <xf numFmtId="0" fontId="60" fillId="3" borderId="3" xfId="0" applyFont="1" applyFill="1" applyBorder="1" applyAlignment="1">
      <alignment horizontal="left" vertical="center"/>
    </xf>
    <xf numFmtId="49" fontId="60" fillId="3" borderId="5" xfId="0" applyNumberFormat="1" applyFont="1" applyFill="1" applyBorder="1" applyAlignment="1">
      <alignment horizontal="left" vertical="center"/>
    </xf>
    <xf numFmtId="0" fontId="69" fillId="52" borderId="36" xfId="0" applyFont="1" applyFill="1" applyBorder="1"/>
    <xf numFmtId="0" fontId="69" fillId="52" borderId="37" xfId="0" applyFont="1" applyFill="1" applyBorder="1" applyAlignment="1">
      <alignment horizontal="left"/>
    </xf>
    <xf numFmtId="0" fontId="104" fillId="52" borderId="37" xfId="0" applyFont="1" applyFill="1" applyBorder="1"/>
    <xf numFmtId="0" fontId="104" fillId="52" borderId="40" xfId="0" applyFont="1" applyFill="1" applyBorder="1"/>
    <xf numFmtId="0" fontId="10" fillId="52" borderId="36" xfId="0" applyFont="1" applyFill="1" applyBorder="1" applyAlignment="1">
      <alignment wrapText="1"/>
    </xf>
    <xf numFmtId="0" fontId="62" fillId="52" borderId="119" xfId="0" applyFont="1" applyFill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3" fillId="53" borderId="0" xfId="0" applyFont="1" applyFill="1" applyBorder="1" applyAlignment="1">
      <alignment horizontal="center" vertical="center" wrapText="1"/>
    </xf>
    <xf numFmtId="0" fontId="83" fillId="53" borderId="0" xfId="0" applyFont="1" applyFill="1" applyAlignment="1">
      <alignment horizontal="center" vertical="center" wrapText="1"/>
    </xf>
    <xf numFmtId="0" fontId="81" fillId="17" borderId="3" xfId="0" applyFont="1" applyFill="1" applyBorder="1" applyAlignment="1">
      <alignment horizontal="center" vertical="center" wrapText="1"/>
    </xf>
    <xf numFmtId="0" fontId="81" fillId="17" borderId="3" xfId="0" applyFont="1" applyFill="1" applyBorder="1" applyAlignment="1">
      <alignment vertical="center" wrapText="1"/>
    </xf>
    <xf numFmtId="18" fontId="81" fillId="17" borderId="3" xfId="0" applyNumberFormat="1" applyFont="1" applyFill="1" applyBorder="1" applyAlignment="1">
      <alignment horizontal="center" vertical="center" wrapText="1"/>
    </xf>
    <xf numFmtId="0" fontId="81" fillId="17" borderId="1" xfId="0" applyFont="1" applyFill="1" applyBorder="1" applyAlignment="1">
      <alignment horizontal="center" vertical="center" wrapText="1"/>
    </xf>
    <xf numFmtId="0" fontId="83" fillId="30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3" fillId="3" borderId="3" xfId="0" applyFont="1" applyFill="1" applyBorder="1" applyAlignment="1">
      <alignment vertical="center" wrapText="1"/>
    </xf>
    <xf numFmtId="0" fontId="8" fillId="30" borderId="3" xfId="0" applyFont="1" applyFill="1" applyBorder="1" applyAlignment="1">
      <alignment vertical="center" wrapText="1"/>
    </xf>
    <xf numFmtId="0" fontId="81" fillId="3" borderId="3" xfId="0" applyFont="1" applyFill="1" applyBorder="1" applyAlignment="1">
      <alignment horizontal="center" vertical="center" wrapText="1"/>
    </xf>
    <xf numFmtId="0" fontId="83" fillId="3" borderId="3" xfId="0" applyFont="1" applyFill="1" applyBorder="1" applyAlignment="1">
      <alignment horizontal="left" vertical="center"/>
    </xf>
    <xf numFmtId="0" fontId="83" fillId="3" borderId="3" xfId="0" applyFont="1" applyFill="1" applyBorder="1" applyAlignment="1">
      <alignment horizontal="left" vertical="center" wrapText="1"/>
    </xf>
    <xf numFmtId="0" fontId="83" fillId="3" borderId="3" xfId="0" applyFont="1" applyFill="1" applyBorder="1" applyAlignment="1">
      <alignment horizontal="center" vertical="center" wrapText="1"/>
    </xf>
    <xf numFmtId="18" fontId="83" fillId="3" borderId="3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1" fillId="12" borderId="3" xfId="0" applyFont="1" applyFill="1" applyBorder="1" applyAlignment="1">
      <alignment vertical="center" wrapText="1"/>
    </xf>
    <xf numFmtId="0" fontId="83" fillId="3" borderId="1" xfId="0" applyFont="1" applyFill="1" applyBorder="1" applyAlignment="1">
      <alignment horizontal="left" vertical="center"/>
    </xf>
    <xf numFmtId="0" fontId="83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1" fillId="52" borderId="3" xfId="0" applyFont="1" applyFill="1" applyBorder="1" applyAlignment="1">
      <alignment horizontal="left" vertical="center"/>
    </xf>
    <xf numFmtId="0" fontId="81" fillId="52" borderId="3" xfId="0" applyFont="1" applyFill="1" applyBorder="1" applyAlignment="1">
      <alignment horizontal="left" vertical="center" wrapText="1"/>
    </xf>
    <xf numFmtId="0" fontId="81" fillId="52" borderId="3" xfId="0" applyFont="1" applyFill="1" applyBorder="1" applyAlignment="1">
      <alignment horizontal="center" vertical="center" wrapText="1"/>
    </xf>
    <xf numFmtId="18" fontId="81" fillId="52" borderId="3" xfId="0" applyNumberFormat="1" applyFont="1" applyFill="1" applyBorder="1" applyAlignment="1">
      <alignment horizontal="center" vertical="center" wrapText="1"/>
    </xf>
    <xf numFmtId="0" fontId="83" fillId="52" borderId="3" xfId="0" applyFont="1" applyFill="1" applyBorder="1" applyAlignment="1">
      <alignment horizontal="center" vertical="center" wrapText="1"/>
    </xf>
    <xf numFmtId="0" fontId="81" fillId="52" borderId="1" xfId="0" applyFont="1" applyFill="1" applyBorder="1" applyAlignment="1">
      <alignment horizontal="left" vertical="center"/>
    </xf>
    <xf numFmtId="0" fontId="48" fillId="12" borderId="3" xfId="0" applyFont="1" applyFill="1" applyBorder="1" applyAlignment="1">
      <alignment vertical="center" wrapText="1"/>
    </xf>
    <xf numFmtId="18" fontId="81" fillId="12" borderId="3" xfId="0" applyNumberFormat="1" applyFont="1" applyFill="1" applyBorder="1" applyAlignment="1">
      <alignment horizontal="center" vertical="center" wrapText="1"/>
    </xf>
    <xf numFmtId="0" fontId="83" fillId="3" borderId="20" xfId="0" applyFont="1" applyFill="1" applyBorder="1" applyAlignment="1">
      <alignment horizontal="center" vertical="center" wrapText="1"/>
    </xf>
    <xf numFmtId="0" fontId="81" fillId="54" borderId="3" xfId="0" applyFont="1" applyFill="1" applyBorder="1" applyAlignment="1">
      <alignment horizontal="left" vertical="center"/>
    </xf>
    <xf numFmtId="0" fontId="83" fillId="17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vertical="center" wrapText="1"/>
    </xf>
    <xf numFmtId="0" fontId="83" fillId="12" borderId="3" xfId="0" applyFont="1" applyFill="1" applyBorder="1" applyAlignment="1">
      <alignment vertical="center" wrapText="1"/>
    </xf>
    <xf numFmtId="0" fontId="83" fillId="3" borderId="20" xfId="0" applyFont="1" applyFill="1" applyBorder="1" applyAlignment="1">
      <alignment horizontal="left" vertical="center"/>
    </xf>
    <xf numFmtId="0" fontId="83" fillId="3" borderId="20" xfId="0" applyFont="1" applyFill="1" applyBorder="1" applyAlignment="1">
      <alignment horizontal="left" vertical="center" wrapText="1"/>
    </xf>
    <xf numFmtId="0" fontId="83" fillId="36" borderId="3" xfId="0" applyFont="1" applyFill="1" applyBorder="1" applyAlignment="1">
      <alignment horizontal="left" vertical="center"/>
    </xf>
    <xf numFmtId="0" fontId="83" fillId="32" borderId="1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1" fillId="17" borderId="3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36" fillId="0" borderId="0" xfId="3" applyFont="1" applyAlignment="1">
      <alignment horizontal="left" wrapText="1"/>
    </xf>
    <xf numFmtId="0" fontId="103" fillId="15" borderId="117" xfId="3" applyFont="1" applyFill="1" applyBorder="1" applyAlignment="1">
      <alignment horizontal="center" wrapText="1"/>
    </xf>
    <xf numFmtId="0" fontId="103" fillId="22" borderId="117" xfId="3" applyFont="1" applyFill="1" applyBorder="1" applyAlignment="1">
      <alignment horizontal="center" wrapText="1"/>
    </xf>
    <xf numFmtId="0" fontId="106" fillId="15" borderId="117" xfId="3" applyFont="1" applyFill="1" applyBorder="1" applyAlignment="1">
      <alignment horizontal="center" wrapText="1"/>
    </xf>
    <xf numFmtId="0" fontId="106" fillId="22" borderId="117" xfId="3" applyFont="1" applyFill="1" applyBorder="1" applyAlignment="1">
      <alignment horizontal="center" wrapText="1"/>
    </xf>
    <xf numFmtId="0" fontId="36" fillId="0" borderId="0" xfId="3" applyFont="1" applyAlignment="1">
      <alignment horizontal="center" wrapText="1"/>
    </xf>
    <xf numFmtId="0" fontId="103" fillId="15" borderId="118" xfId="3" applyFont="1" applyFill="1" applyBorder="1" applyAlignment="1">
      <alignment horizontal="center" wrapText="1"/>
    </xf>
    <xf numFmtId="0" fontId="107" fillId="57" borderId="118" xfId="3" applyFont="1" applyFill="1" applyBorder="1" applyAlignment="1">
      <alignment horizontal="center" vertical="center" wrapText="1"/>
    </xf>
    <xf numFmtId="20" fontId="107" fillId="57" borderId="118" xfId="3" applyNumberFormat="1" applyFont="1" applyFill="1" applyBorder="1" applyAlignment="1">
      <alignment horizontal="center" vertical="center" wrapText="1"/>
    </xf>
    <xf numFmtId="0" fontId="36" fillId="0" borderId="118" xfId="3" applyFont="1" applyBorder="1" applyAlignment="1">
      <alignment horizontal="center" vertical="center" wrapText="1"/>
    </xf>
    <xf numFmtId="0" fontId="107" fillId="15" borderId="118" xfId="3" applyFont="1" applyFill="1" applyBorder="1" applyAlignment="1">
      <alignment horizontal="center" vertical="center" wrapText="1"/>
    </xf>
    <xf numFmtId="0" fontId="107" fillId="11" borderId="118" xfId="3" applyFont="1" applyFill="1" applyBorder="1" applyAlignment="1">
      <alignment horizontal="center" vertical="center" wrapText="1"/>
    </xf>
    <xf numFmtId="0" fontId="107" fillId="5" borderId="118" xfId="3" applyFont="1" applyFill="1" applyBorder="1" applyAlignment="1">
      <alignment horizontal="center" vertical="center" wrapText="1"/>
    </xf>
    <xf numFmtId="0" fontId="107" fillId="3" borderId="118" xfId="3" applyFont="1" applyFill="1" applyBorder="1" applyAlignment="1">
      <alignment horizontal="center" vertical="center" wrapText="1"/>
    </xf>
    <xf numFmtId="0" fontId="107" fillId="3" borderId="109" xfId="3" applyFont="1" applyFill="1" applyBorder="1" applyAlignment="1">
      <alignment horizontal="center" vertical="center" wrapText="1"/>
    </xf>
    <xf numFmtId="0" fontId="36" fillId="0" borderId="3" xfId="3" applyFont="1" applyBorder="1" applyAlignment="1">
      <alignment horizontal="center" vertical="center" wrapText="1"/>
    </xf>
    <xf numFmtId="0" fontId="30" fillId="0" borderId="0" xfId="3" applyFont="1" applyAlignment="1">
      <alignment horizontal="left"/>
    </xf>
    <xf numFmtId="0" fontId="36" fillId="57" borderId="118" xfId="3" applyFont="1" applyFill="1" applyBorder="1" applyAlignment="1">
      <alignment horizontal="center" vertical="center" wrapText="1"/>
    </xf>
    <xf numFmtId="0" fontId="36" fillId="15" borderId="118" xfId="3" applyFont="1" applyFill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107" fillId="57" borderId="20" xfId="3" applyFont="1" applyFill="1" applyBorder="1" applyAlignment="1">
      <alignment horizontal="center" vertical="center" wrapText="1"/>
    </xf>
    <xf numFmtId="20" fontId="107" fillId="57" borderId="20" xfId="3" applyNumberFormat="1" applyFont="1" applyFill="1" applyBorder="1" applyAlignment="1">
      <alignment horizontal="center" vertical="center" wrapText="1"/>
    </xf>
    <xf numFmtId="0" fontId="36" fillId="0" borderId="20" xfId="3" applyFont="1" applyBorder="1" applyAlignment="1">
      <alignment horizontal="center" vertical="center" wrapText="1"/>
    </xf>
    <xf numFmtId="0" fontId="107" fillId="5" borderId="109" xfId="3" applyFont="1" applyFill="1" applyBorder="1" applyAlignment="1">
      <alignment horizontal="center" vertical="center" wrapText="1"/>
    </xf>
    <xf numFmtId="0" fontId="30" fillId="0" borderId="0" xfId="3" applyFont="1" applyAlignment="1">
      <alignment horizontal="left" vertical="center"/>
    </xf>
    <xf numFmtId="0" fontId="107" fillId="3" borderId="115" xfId="3" applyFont="1" applyFill="1" applyBorder="1" applyAlignment="1">
      <alignment horizontal="center" vertical="center" wrapText="1"/>
    </xf>
    <xf numFmtId="0" fontId="107" fillId="58" borderId="118" xfId="3" applyFont="1" applyFill="1" applyBorder="1" applyAlignment="1">
      <alignment horizontal="center" vertical="center" wrapText="1"/>
    </xf>
    <xf numFmtId="0" fontId="30" fillId="0" borderId="0" xfId="3" applyFont="1"/>
    <xf numFmtId="0" fontId="107" fillId="57" borderId="118" xfId="3" applyFont="1" applyFill="1" applyBorder="1" applyAlignment="1">
      <alignment horizontal="center" vertical="center"/>
    </xf>
    <xf numFmtId="0" fontId="36" fillId="3" borderId="3" xfId="3" applyFont="1" applyFill="1" applyBorder="1" applyAlignment="1">
      <alignment horizontal="center" vertical="center" wrapText="1"/>
    </xf>
    <xf numFmtId="0" fontId="36" fillId="3" borderId="0" xfId="3" applyFont="1" applyFill="1" applyAlignment="1">
      <alignment horizontal="center" vertical="center" wrapText="1"/>
    </xf>
    <xf numFmtId="0" fontId="36" fillId="15" borderId="0" xfId="3" applyFont="1" applyFill="1" applyAlignment="1">
      <alignment horizontal="center" vertical="center" wrapText="1"/>
    </xf>
    <xf numFmtId="0" fontId="103" fillId="3" borderId="118" xfId="3" applyFont="1" applyFill="1" applyBorder="1" applyAlignment="1">
      <alignment horizontal="center" vertical="center" wrapText="1"/>
    </xf>
    <xf numFmtId="0" fontId="107" fillId="3" borderId="117" xfId="3" applyFont="1" applyFill="1" applyBorder="1" applyAlignment="1">
      <alignment horizontal="center" vertical="center" wrapText="1"/>
    </xf>
    <xf numFmtId="0" fontId="107" fillId="3" borderId="3" xfId="3" applyFont="1" applyFill="1" applyBorder="1" applyAlignment="1">
      <alignment horizontal="center" vertical="center" wrapText="1"/>
    </xf>
    <xf numFmtId="0" fontId="103" fillId="3" borderId="110" xfId="3" applyFont="1" applyFill="1" applyBorder="1" applyAlignment="1">
      <alignment horizontal="center" vertical="center" wrapText="1"/>
    </xf>
    <xf numFmtId="0" fontId="36" fillId="0" borderId="115" xfId="3" applyFont="1" applyBorder="1" applyAlignment="1">
      <alignment horizontal="center" vertical="center" wrapText="1"/>
    </xf>
    <xf numFmtId="0" fontId="107" fillId="57" borderId="115" xfId="3" applyFont="1" applyFill="1" applyBorder="1" applyAlignment="1">
      <alignment horizontal="center" vertical="center" wrapText="1"/>
    </xf>
    <xf numFmtId="0" fontId="107" fillId="15" borderId="115" xfId="3" applyFont="1" applyFill="1" applyBorder="1" applyAlignment="1">
      <alignment horizontal="center" vertical="center" wrapText="1"/>
    </xf>
    <xf numFmtId="0" fontId="107" fillId="58" borderId="109" xfId="3" applyFont="1" applyFill="1" applyBorder="1" applyAlignment="1">
      <alignment horizontal="center" vertical="center" wrapText="1"/>
    </xf>
    <xf numFmtId="0" fontId="107" fillId="15" borderId="3" xfId="3" applyFont="1" applyFill="1" applyBorder="1" applyAlignment="1">
      <alignment horizontal="center" vertical="center" wrapText="1"/>
    </xf>
    <xf numFmtId="0" fontId="107" fillId="3" borderId="110" xfId="3" applyFont="1" applyFill="1" applyBorder="1" applyAlignment="1">
      <alignment horizontal="center" vertical="center" wrapText="1"/>
    </xf>
    <xf numFmtId="20" fontId="107" fillId="57" borderId="115" xfId="3" applyNumberFormat="1" applyFont="1" applyFill="1" applyBorder="1" applyAlignment="1">
      <alignment horizontal="center" vertical="center" wrapText="1"/>
    </xf>
    <xf numFmtId="20" fontId="107" fillId="57" borderId="112" xfId="3" applyNumberFormat="1" applyFont="1" applyFill="1" applyBorder="1" applyAlignment="1">
      <alignment horizontal="center" vertical="center" wrapText="1"/>
    </xf>
    <xf numFmtId="0" fontId="107" fillId="15" borderId="113" xfId="3" applyFont="1" applyFill="1" applyBorder="1" applyAlignment="1">
      <alignment horizontal="center" vertical="center" wrapText="1"/>
    </xf>
    <xf numFmtId="0" fontId="107" fillId="15" borderId="116" xfId="3" applyFont="1" applyFill="1" applyBorder="1" applyAlignment="1">
      <alignment horizontal="center" vertical="center" wrapText="1"/>
    </xf>
    <xf numFmtId="0" fontId="107" fillId="3" borderId="112" xfId="3" applyFont="1" applyFill="1" applyBorder="1" applyAlignment="1">
      <alignment horizontal="center" vertical="center" wrapText="1"/>
    </xf>
    <xf numFmtId="0" fontId="36" fillId="3" borderId="24" xfId="3" applyFont="1" applyFill="1" applyBorder="1" applyAlignment="1">
      <alignment horizontal="center" vertical="center" wrapText="1"/>
    </xf>
    <xf numFmtId="0" fontId="35" fillId="0" borderId="0" xfId="3" applyFont="1" applyBorder="1" applyAlignment="1"/>
    <xf numFmtId="0" fontId="35" fillId="0" borderId="0" xfId="3" applyFont="1" applyBorder="1" applyAlignment="1">
      <alignment wrapText="1"/>
    </xf>
    <xf numFmtId="0" fontId="63" fillId="3" borderId="37" xfId="0" applyFont="1" applyFill="1" applyBorder="1" applyAlignment="1">
      <alignment wrapText="1"/>
    </xf>
    <xf numFmtId="0" fontId="64" fillId="32" borderId="0" xfId="0" applyFont="1" applyFill="1" applyBorder="1" applyAlignment="1">
      <alignment wrapText="1"/>
    </xf>
    <xf numFmtId="0" fontId="64" fillId="32" borderId="21" xfId="0" applyFont="1" applyFill="1" applyBorder="1" applyAlignment="1">
      <alignment vertical="center" wrapText="1"/>
    </xf>
    <xf numFmtId="0" fontId="64" fillId="0" borderId="3" xfId="0" applyFont="1" applyFill="1" applyBorder="1" applyAlignment="1">
      <alignment vertical="center" wrapText="1"/>
    </xf>
    <xf numFmtId="0" fontId="64" fillId="0" borderId="3" xfId="0" applyFont="1" applyFill="1" applyBorder="1" applyAlignment="1">
      <alignment horizontal="left" vertical="center" wrapText="1"/>
    </xf>
    <xf numFmtId="0" fontId="63" fillId="0" borderId="3" xfId="0" applyFont="1" applyFill="1" applyBorder="1" applyAlignment="1">
      <alignment vertical="center" wrapText="1"/>
    </xf>
    <xf numFmtId="0" fontId="63" fillId="0" borderId="3" xfId="0" applyFont="1" applyFill="1" applyBorder="1" applyAlignment="1">
      <alignment horizontal="left" vertical="center" wrapText="1"/>
    </xf>
    <xf numFmtId="0" fontId="64" fillId="0" borderId="24" xfId="0" applyFont="1" applyFill="1" applyBorder="1" applyAlignment="1">
      <alignment vertical="center" wrapText="1"/>
    </xf>
    <xf numFmtId="0" fontId="64" fillId="0" borderId="21" xfId="0" applyFont="1" applyFill="1" applyBorder="1" applyAlignment="1">
      <alignment vertical="center" wrapText="1"/>
    </xf>
    <xf numFmtId="0" fontId="62" fillId="3" borderId="56" xfId="0" applyFont="1" applyFill="1" applyBorder="1" applyAlignment="1">
      <alignment vertical="center"/>
    </xf>
    <xf numFmtId="0" fontId="62" fillId="0" borderId="3" xfId="0" applyFont="1" applyFill="1" applyBorder="1" applyAlignment="1">
      <alignment vertical="center"/>
    </xf>
    <xf numFmtId="0" fontId="65" fillId="0" borderId="3" xfId="0" applyFont="1" applyFill="1" applyBorder="1" applyAlignment="1">
      <alignment horizontal="left" vertical="center"/>
    </xf>
    <xf numFmtId="0" fontId="62" fillId="0" borderId="3" xfId="0" applyFont="1" applyFill="1" applyBorder="1" applyAlignment="1">
      <alignment horizontal="left" vertical="center"/>
    </xf>
    <xf numFmtId="0" fontId="62" fillId="3" borderId="3" xfId="0" applyFont="1" applyFill="1" applyBorder="1" applyAlignment="1">
      <alignment vertical="center"/>
    </xf>
    <xf numFmtId="0" fontId="62" fillId="3" borderId="3" xfId="0" applyFont="1" applyFill="1" applyBorder="1" applyAlignment="1">
      <alignment horizontal="left" vertical="center"/>
    </xf>
    <xf numFmtId="0" fontId="62" fillId="3" borderId="3" xfId="0" applyFont="1" applyFill="1" applyBorder="1" applyAlignment="1">
      <alignment vertical="center" wrapText="1"/>
    </xf>
    <xf numFmtId="49" fontId="63" fillId="3" borderId="1" xfId="0" applyNumberFormat="1" applyFont="1" applyFill="1" applyBorder="1" applyAlignment="1">
      <alignment horizontal="left" vertical="center"/>
    </xf>
    <xf numFmtId="49" fontId="63" fillId="0" borderId="1" xfId="0" applyNumberFormat="1" applyFont="1" applyFill="1" applyBorder="1" applyAlignment="1">
      <alignment horizontal="left" vertical="center"/>
    </xf>
    <xf numFmtId="0" fontId="63" fillId="0" borderId="20" xfId="0" applyFont="1" applyFill="1" applyBorder="1" applyAlignment="1">
      <alignment horizontal="left" vertical="center"/>
    </xf>
    <xf numFmtId="0" fontId="63" fillId="0" borderId="20" xfId="0" applyFont="1" applyFill="1" applyBorder="1" applyAlignment="1">
      <alignment vertical="center" wrapText="1"/>
    </xf>
    <xf numFmtId="49" fontId="63" fillId="0" borderId="6" xfId="0" applyNumberFormat="1" applyFont="1" applyFill="1" applyBorder="1" applyAlignment="1">
      <alignment horizontal="left" vertical="center"/>
    </xf>
    <xf numFmtId="49" fontId="63" fillId="0" borderId="3" xfId="0" applyNumberFormat="1" applyFont="1" applyFill="1" applyBorder="1" applyAlignment="1">
      <alignment horizontal="left" vertical="center"/>
    </xf>
    <xf numFmtId="0" fontId="63" fillId="0" borderId="2" xfId="0" applyFont="1" applyFill="1" applyBorder="1" applyAlignment="1">
      <alignment horizontal="left" vertical="center"/>
    </xf>
    <xf numFmtId="0" fontId="62" fillId="0" borderId="3" xfId="0" applyFont="1" applyBorder="1" applyAlignment="1">
      <alignment horizontal="left" vertical="center"/>
    </xf>
    <xf numFmtId="0" fontId="62" fillId="0" borderId="3" xfId="0" applyFont="1" applyFill="1" applyBorder="1" applyAlignment="1">
      <alignment horizontal="left" vertical="center" wrapText="1"/>
    </xf>
    <xf numFmtId="0" fontId="63" fillId="0" borderId="53" xfId="0" applyFont="1" applyFill="1" applyBorder="1" applyAlignment="1">
      <alignment horizontal="center" vertical="center"/>
    </xf>
    <xf numFmtId="0" fontId="62" fillId="0" borderId="56" xfId="0" applyFont="1" applyFill="1" applyBorder="1" applyAlignment="1">
      <alignment vertical="center"/>
    </xf>
    <xf numFmtId="0" fontId="63" fillId="32" borderId="3" xfId="0" applyFont="1" applyFill="1" applyBorder="1" applyAlignment="1">
      <alignment horizontal="left" vertical="center"/>
    </xf>
    <xf numFmtId="0" fontId="62" fillId="12" borderId="3" xfId="0" applyFont="1" applyFill="1" applyBorder="1" applyAlignment="1">
      <alignment horizontal="left" vertical="center"/>
    </xf>
    <xf numFmtId="0" fontId="62" fillId="0" borderId="56" xfId="0" applyFont="1" applyFill="1" applyBorder="1" applyAlignment="1">
      <alignment horizontal="center" vertical="center"/>
    </xf>
    <xf numFmtId="0" fontId="62" fillId="0" borderId="98" xfId="0" applyFont="1" applyFill="1" applyBorder="1" applyAlignment="1">
      <alignment horizontal="center" vertical="center"/>
    </xf>
    <xf numFmtId="0" fontId="63" fillId="0" borderId="53" xfId="0" applyFont="1" applyFill="1" applyBorder="1" applyAlignment="1">
      <alignment horizontal="center" vertical="center" wrapText="1"/>
    </xf>
    <xf numFmtId="0" fontId="64" fillId="0" borderId="21" xfId="0" applyFont="1" applyFill="1" applyBorder="1" applyAlignment="1">
      <alignment horizontal="left" vertical="center"/>
    </xf>
    <xf numFmtId="49" fontId="63" fillId="0" borderId="13" xfId="0" applyNumberFormat="1" applyFont="1" applyFill="1" applyBorder="1" applyAlignment="1">
      <alignment horizontal="left" vertical="center"/>
    </xf>
    <xf numFmtId="0" fontId="63" fillId="0" borderId="56" xfId="0" applyFont="1" applyFill="1" applyBorder="1" applyAlignment="1">
      <alignment horizontal="right" vertical="center" wrapText="1"/>
    </xf>
    <xf numFmtId="0" fontId="63" fillId="0" borderId="5" xfId="0" applyFont="1" applyFill="1" applyBorder="1" applyAlignment="1">
      <alignment horizontal="left" vertical="center"/>
    </xf>
    <xf numFmtId="0" fontId="63" fillId="32" borderId="3" xfId="0" applyFont="1" applyFill="1" applyBorder="1" applyAlignment="1">
      <alignment vertical="center"/>
    </xf>
    <xf numFmtId="0" fontId="62" fillId="0" borderId="68" xfId="0" applyFont="1" applyFill="1" applyBorder="1" applyAlignment="1">
      <alignment vertical="center"/>
    </xf>
    <xf numFmtId="0" fontId="63" fillId="12" borderId="3" xfId="0" applyFont="1" applyFill="1" applyBorder="1" applyAlignment="1">
      <alignment horizontal="left" vertical="center"/>
    </xf>
    <xf numFmtId="0" fontId="63" fillId="32" borderId="20" xfId="0" applyFont="1" applyFill="1" applyBorder="1" applyAlignment="1">
      <alignment vertical="center"/>
    </xf>
    <xf numFmtId="20" fontId="62" fillId="0" borderId="3" xfId="0" applyNumberFormat="1" applyFont="1" applyFill="1" applyBorder="1" applyAlignment="1">
      <alignment vertical="center"/>
    </xf>
    <xf numFmtId="0" fontId="62" fillId="0" borderId="67" xfId="0" applyFont="1" applyFill="1" applyBorder="1" applyAlignment="1">
      <alignment vertical="center"/>
    </xf>
    <xf numFmtId="0" fontId="62" fillId="0" borderId="122" xfId="0" applyFont="1" applyFill="1" applyBorder="1" applyAlignment="1">
      <alignment vertical="center"/>
    </xf>
    <xf numFmtId="0" fontId="63" fillId="0" borderId="2" xfId="0" applyFont="1" applyFill="1" applyBorder="1" applyAlignment="1">
      <alignment vertical="center"/>
    </xf>
    <xf numFmtId="0" fontId="62" fillId="0" borderId="20" xfId="0" applyFont="1" applyFill="1" applyBorder="1" applyAlignment="1">
      <alignment vertical="center"/>
    </xf>
    <xf numFmtId="0" fontId="67" fillId="0" borderId="20" xfId="0" applyFont="1" applyFill="1" applyBorder="1" applyAlignment="1">
      <alignment vertical="center"/>
    </xf>
    <xf numFmtId="0" fontId="63" fillId="11" borderId="3" xfId="0" applyFont="1" applyFill="1" applyBorder="1" applyAlignment="1">
      <alignment horizontal="left" vertical="center"/>
    </xf>
    <xf numFmtId="0" fontId="63" fillId="12" borderId="20" xfId="0" applyFont="1" applyFill="1" applyBorder="1" applyAlignment="1">
      <alignment horizontal="left" vertical="center"/>
    </xf>
    <xf numFmtId="49" fontId="63" fillId="0" borderId="20" xfId="0" applyNumberFormat="1" applyFont="1" applyFill="1" applyBorder="1" applyAlignment="1">
      <alignment horizontal="left" vertical="center"/>
    </xf>
    <xf numFmtId="0" fontId="62" fillId="0" borderId="4" xfId="0" applyFont="1" applyFill="1" applyBorder="1" applyAlignment="1">
      <alignment vertical="center"/>
    </xf>
    <xf numFmtId="0" fontId="23" fillId="3" borderId="3" xfId="4" applyFont="1" applyFill="1" applyBorder="1" applyAlignment="1">
      <alignment vertical="center"/>
    </xf>
    <xf numFmtId="0" fontId="23" fillId="3" borderId="3" xfId="4" applyFont="1" applyFill="1" applyBorder="1" applyAlignment="1">
      <alignment horizontal="center" vertical="center"/>
    </xf>
    <xf numFmtId="0" fontId="25" fillId="3" borderId="3" xfId="4" applyFont="1" applyFill="1" applyBorder="1" applyAlignment="1">
      <alignment horizontal="center" vertical="center"/>
    </xf>
    <xf numFmtId="18" fontId="25" fillId="3" borderId="20" xfId="4" applyNumberFormat="1" applyFont="1" applyFill="1" applyBorder="1" applyAlignment="1">
      <alignment horizontal="center" vertical="center"/>
    </xf>
    <xf numFmtId="0" fontId="25" fillId="3" borderId="20" xfId="4" applyFont="1" applyFill="1" applyBorder="1" applyAlignment="1">
      <alignment horizontal="center" vertical="center"/>
    </xf>
    <xf numFmtId="0" fontId="25" fillId="64" borderId="3" xfId="4" applyFont="1" applyFill="1" applyBorder="1" applyAlignment="1">
      <alignment horizontal="center" vertical="center"/>
    </xf>
    <xf numFmtId="0" fontId="25" fillId="64" borderId="3" xfId="4" applyFont="1" applyFill="1" applyBorder="1" applyAlignment="1">
      <alignment vertical="center"/>
    </xf>
    <xf numFmtId="0" fontId="23" fillId="3" borderId="2" xfId="4" applyFont="1" applyFill="1" applyBorder="1" applyAlignment="1">
      <alignment horizontal="center" vertical="center"/>
    </xf>
    <xf numFmtId="0" fontId="25" fillId="40" borderId="3" xfId="4" applyFont="1" applyFill="1" applyBorder="1" applyAlignment="1">
      <alignment horizontal="center" vertical="center"/>
    </xf>
    <xf numFmtId="0" fontId="25" fillId="40" borderId="3" xfId="4" applyFont="1" applyFill="1" applyBorder="1" applyAlignment="1">
      <alignment vertical="center"/>
    </xf>
    <xf numFmtId="0" fontId="114" fillId="62" borderId="3" xfId="4" applyFont="1" applyFill="1" applyBorder="1" applyAlignment="1">
      <alignment horizontal="left" vertical="center"/>
    </xf>
    <xf numFmtId="0" fontId="114" fillId="62" borderId="3" xfId="4" applyFont="1" applyFill="1" applyBorder="1" applyAlignment="1">
      <alignment vertical="center"/>
    </xf>
    <xf numFmtId="0" fontId="114" fillId="62" borderId="1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vertical="center"/>
    </xf>
    <xf numFmtId="0" fontId="25" fillId="38" borderId="3" xfId="4" applyFont="1" applyFill="1" applyBorder="1" applyAlignment="1">
      <alignment horizontal="center" vertical="center"/>
    </xf>
    <xf numFmtId="0" fontId="25" fillId="38" borderId="3" xfId="4" applyFont="1" applyFill="1" applyBorder="1" applyAlignment="1">
      <alignment vertical="center"/>
    </xf>
    <xf numFmtId="0" fontId="25" fillId="17" borderId="3" xfId="4" applyFont="1" applyFill="1" applyBorder="1" applyAlignment="1">
      <alignment horizontal="center" vertical="center"/>
    </xf>
    <xf numFmtId="0" fontId="25" fillId="17" borderId="3" xfId="4" applyFont="1" applyFill="1" applyBorder="1" applyAlignment="1">
      <alignment vertical="center"/>
    </xf>
    <xf numFmtId="0" fontId="25" fillId="38" borderId="1" xfId="4" applyFont="1" applyFill="1" applyBorder="1" applyAlignment="1">
      <alignment horizontal="center" vertical="center"/>
    </xf>
    <xf numFmtId="0" fontId="114" fillId="65" borderId="3" xfId="4" applyFont="1" applyFill="1" applyBorder="1" applyAlignment="1">
      <alignment horizontal="left" vertical="center"/>
    </xf>
    <xf numFmtId="0" fontId="48" fillId="3" borderId="0" xfId="4" applyFont="1" applyFill="1" applyAlignment="1">
      <alignment horizontal="left" vertical="center"/>
    </xf>
    <xf numFmtId="0" fontId="22" fillId="63" borderId="3" xfId="4" applyFont="1" applyFill="1" applyBorder="1" applyAlignment="1">
      <alignment vertical="center" wrapText="1"/>
    </xf>
    <xf numFmtId="0" fontId="90" fillId="63" borderId="3" xfId="4" applyFont="1" applyFill="1" applyBorder="1" applyAlignment="1">
      <alignment vertical="center" wrapText="1"/>
    </xf>
    <xf numFmtId="0" fontId="115" fillId="40" borderId="3" xfId="3" applyFont="1" applyFill="1" applyBorder="1" applyAlignment="1">
      <alignment vertical="center" wrapText="1"/>
    </xf>
    <xf numFmtId="0" fontId="90" fillId="66" borderId="3" xfId="4" applyFont="1" applyFill="1" applyBorder="1" applyAlignment="1">
      <alignment vertical="center" wrapText="1"/>
    </xf>
    <xf numFmtId="0" fontId="114" fillId="66" borderId="3" xfId="4" applyFont="1" applyFill="1" applyBorder="1" applyAlignment="1">
      <alignment vertical="center" wrapText="1"/>
    </xf>
    <xf numFmtId="0" fontId="114" fillId="62" borderId="3" xfId="4" applyFont="1" applyFill="1" applyBorder="1" applyAlignment="1">
      <alignment vertical="center" wrapText="1"/>
    </xf>
    <xf numFmtId="0" fontId="90" fillId="65" borderId="3" xfId="4" applyFont="1" applyFill="1" applyBorder="1" applyAlignment="1">
      <alignment vertical="center" wrapText="1"/>
    </xf>
    <xf numFmtId="0" fontId="114" fillId="65" borderId="3" xfId="4" applyFont="1" applyFill="1" applyBorder="1" applyAlignment="1">
      <alignment vertical="center" wrapText="1"/>
    </xf>
    <xf numFmtId="0" fontId="22" fillId="67" borderId="3" xfId="4" applyFont="1" applyFill="1" applyBorder="1" applyAlignment="1">
      <alignment vertical="center" wrapText="1"/>
    </xf>
    <xf numFmtId="0" fontId="22" fillId="65" borderId="3" xfId="4" applyFont="1" applyFill="1" applyBorder="1" applyAlignment="1">
      <alignment vertical="center" wrapText="1"/>
    </xf>
    <xf numFmtId="0" fontId="110" fillId="3" borderId="6" xfId="4" applyFont="1" applyFill="1" applyBorder="1" applyAlignment="1">
      <alignment vertical="center"/>
    </xf>
    <xf numFmtId="0" fontId="110" fillId="3" borderId="7" xfId="4" applyFont="1" applyFill="1" applyBorder="1" applyAlignment="1">
      <alignment vertical="center"/>
    </xf>
    <xf numFmtId="0" fontId="111" fillId="3" borderId="7" xfId="4" applyFont="1" applyFill="1" applyBorder="1" applyAlignment="1">
      <alignment vertical="center"/>
    </xf>
    <xf numFmtId="0" fontId="22" fillId="3" borderId="7" xfId="4" applyFont="1" applyFill="1" applyBorder="1" applyAlignment="1">
      <alignment horizontal="left" vertical="center"/>
    </xf>
    <xf numFmtId="0" fontId="111" fillId="3" borderId="7" xfId="4" applyFont="1" applyFill="1" applyBorder="1" applyAlignment="1">
      <alignment vertical="center" wrapText="1"/>
    </xf>
    <xf numFmtId="0" fontId="112" fillId="61" borderId="7" xfId="4" applyFont="1" applyFill="1" applyBorder="1" applyAlignment="1">
      <alignment horizontal="left" vertical="center"/>
    </xf>
    <xf numFmtId="0" fontId="22" fillId="61" borderId="7" xfId="4" applyFont="1" applyFill="1" applyBorder="1" applyAlignment="1">
      <alignment horizontal="left" vertical="center"/>
    </xf>
    <xf numFmtId="0" fontId="22" fillId="61" borderId="127" xfId="4" applyFont="1" applyFill="1" applyBorder="1" applyAlignment="1">
      <alignment horizontal="left" vertical="center"/>
    </xf>
    <xf numFmtId="0" fontId="22" fillId="3" borderId="5" xfId="4" applyFont="1" applyFill="1" applyBorder="1" applyAlignment="1">
      <alignment horizontal="center" vertical="center"/>
    </xf>
    <xf numFmtId="0" fontId="22" fillId="3" borderId="3" xfId="4" applyFont="1" applyFill="1" applyBorder="1" applyAlignment="1">
      <alignment horizontal="left" vertical="center"/>
    </xf>
    <xf numFmtId="0" fontId="112" fillId="60" borderId="3" xfId="4" applyFont="1" applyFill="1" applyBorder="1" applyAlignment="1">
      <alignment horizontal="left" vertical="center"/>
    </xf>
    <xf numFmtId="0" fontId="47" fillId="60" borderId="3" xfId="4" applyFont="1" applyFill="1" applyBorder="1" applyAlignment="1">
      <alignment horizontal="left" vertical="center"/>
    </xf>
    <xf numFmtId="0" fontId="45" fillId="61" borderId="3" xfId="4" applyFont="1" applyFill="1" applyBorder="1" applyAlignment="1">
      <alignment horizontal="left" vertical="center"/>
    </xf>
    <xf numFmtId="0" fontId="22" fillId="60" borderId="3" xfId="4" applyFont="1" applyFill="1" applyBorder="1" applyAlignment="1">
      <alignment horizontal="left" vertical="center"/>
    </xf>
    <xf numFmtId="0" fontId="22" fillId="3" borderId="3" xfId="4" applyFont="1" applyFill="1" applyBorder="1" applyAlignment="1">
      <alignment horizontal="center" vertical="center"/>
    </xf>
    <xf numFmtId="0" fontId="47" fillId="60" borderId="3" xfId="4" applyFont="1" applyFill="1" applyBorder="1" applyAlignment="1">
      <alignment vertical="center"/>
    </xf>
    <xf numFmtId="0" fontId="22" fillId="63" borderId="3" xfId="4" applyFont="1" applyFill="1" applyBorder="1" applyAlignment="1">
      <alignment horizontal="left" vertical="center"/>
    </xf>
    <xf numFmtId="49" fontId="22" fillId="63" borderId="1" xfId="4" applyNumberFormat="1" applyFont="1" applyFill="1" applyBorder="1" applyAlignment="1">
      <alignment horizontal="center" vertical="center"/>
    </xf>
    <xf numFmtId="0" fontId="90" fillId="63" borderId="3" xfId="4" applyFont="1" applyFill="1" applyBorder="1" applyAlignment="1">
      <alignment horizontal="left" vertical="center"/>
    </xf>
    <xf numFmtId="0" fontId="90" fillId="63" borderId="1" xfId="4" applyFont="1" applyFill="1" applyBorder="1" applyAlignment="1">
      <alignment horizontal="center" vertical="center"/>
    </xf>
    <xf numFmtId="0" fontId="114" fillId="63" borderId="3" xfId="4" applyFont="1" applyFill="1" applyBorder="1" applyAlignment="1">
      <alignment horizontal="left" vertical="center"/>
    </xf>
    <xf numFmtId="0" fontId="114" fillId="63" borderId="3" xfId="4" applyFont="1" applyFill="1" applyBorder="1" applyAlignment="1">
      <alignment vertical="center" wrapText="1"/>
    </xf>
    <xf numFmtId="49" fontId="114" fillId="63" borderId="1" xfId="4" applyNumberFormat="1" applyFont="1" applyFill="1" applyBorder="1" applyAlignment="1">
      <alignment horizontal="center" vertical="center"/>
    </xf>
    <xf numFmtId="0" fontId="22" fillId="63" borderId="1" xfId="4" applyFont="1" applyFill="1" applyBorder="1" applyAlignment="1">
      <alignment horizontal="center" vertical="center"/>
    </xf>
    <xf numFmtId="0" fontId="115" fillId="40" borderId="3" xfId="3" applyFont="1" applyFill="1" applyBorder="1" applyAlignment="1">
      <alignment horizontal="left" vertical="center"/>
    </xf>
    <xf numFmtId="49" fontId="115" fillId="40" borderId="3" xfId="3" applyNumberFormat="1" applyFont="1" applyFill="1" applyBorder="1" applyAlignment="1">
      <alignment horizontal="center" vertical="center"/>
    </xf>
    <xf numFmtId="0" fontId="22" fillId="66" borderId="3" xfId="4" applyFont="1" applyFill="1" applyBorder="1" applyAlignment="1">
      <alignment horizontal="left" vertical="center"/>
    </xf>
    <xf numFmtId="0" fontId="90" fillId="66" borderId="3" xfId="4" applyFont="1" applyFill="1" applyBorder="1" applyAlignment="1">
      <alignment horizontal="left" vertical="center"/>
    </xf>
    <xf numFmtId="0" fontId="22" fillId="66" borderId="1" xfId="4" applyFont="1" applyFill="1" applyBorder="1" applyAlignment="1">
      <alignment horizontal="center" vertical="center"/>
    </xf>
    <xf numFmtId="0" fontId="114" fillId="66" borderId="3" xfId="4" applyFont="1" applyFill="1" applyBorder="1" applyAlignment="1">
      <alignment horizontal="left" vertical="center"/>
    </xf>
    <xf numFmtId="0" fontId="114" fillId="66" borderId="1" xfId="4" applyFont="1" applyFill="1" applyBorder="1" applyAlignment="1">
      <alignment horizontal="center" vertical="center"/>
    </xf>
    <xf numFmtId="0" fontId="22" fillId="62" borderId="3" xfId="4" applyFont="1" applyFill="1" applyBorder="1" applyAlignment="1">
      <alignment horizontal="left" vertical="center"/>
    </xf>
    <xf numFmtId="0" fontId="90" fillId="62" borderId="3" xfId="4" applyFont="1" applyFill="1" applyBorder="1" applyAlignment="1">
      <alignment horizontal="left" vertical="center"/>
    </xf>
    <xf numFmtId="0" fontId="90" fillId="62" borderId="3" xfId="4" applyFont="1" applyFill="1" applyBorder="1" applyAlignment="1">
      <alignment vertical="center" wrapText="1"/>
    </xf>
    <xf numFmtId="49" fontId="90" fillId="62" borderId="1" xfId="4" applyNumberFormat="1" applyFont="1" applyFill="1" applyBorder="1" applyAlignment="1">
      <alignment horizontal="center" vertical="center"/>
    </xf>
    <xf numFmtId="49" fontId="114" fillId="62" borderId="1" xfId="4" applyNumberFormat="1" applyFont="1" applyFill="1" applyBorder="1" applyAlignment="1">
      <alignment horizontal="center" vertical="center"/>
    </xf>
    <xf numFmtId="0" fontId="22" fillId="65" borderId="3" xfId="4" applyFont="1" applyFill="1" applyBorder="1" applyAlignment="1">
      <alignment horizontal="left" vertical="center"/>
    </xf>
    <xf numFmtId="0" fontId="90" fillId="65" borderId="3" xfId="4" applyFont="1" applyFill="1" applyBorder="1" applyAlignment="1">
      <alignment horizontal="left" vertical="center"/>
    </xf>
    <xf numFmtId="49" fontId="90" fillId="65" borderId="1" xfId="4" applyNumberFormat="1" applyFont="1" applyFill="1" applyBorder="1" applyAlignment="1">
      <alignment horizontal="center" vertical="center"/>
    </xf>
    <xf numFmtId="49" fontId="114" fillId="65" borderId="1" xfId="4" applyNumberFormat="1" applyFont="1" applyFill="1" applyBorder="1" applyAlignment="1">
      <alignment horizontal="center" vertical="center"/>
    </xf>
    <xf numFmtId="0" fontId="115" fillId="38" borderId="3" xfId="3" applyFont="1" applyFill="1" applyBorder="1" applyAlignment="1">
      <alignment horizontal="left" vertical="center"/>
    </xf>
    <xf numFmtId="49" fontId="22" fillId="65" borderId="1" xfId="4" applyNumberFormat="1" applyFont="1" applyFill="1" applyBorder="1" applyAlignment="1">
      <alignment horizontal="center" vertical="center"/>
    </xf>
    <xf numFmtId="0" fontId="22" fillId="67" borderId="3" xfId="4" applyFont="1" applyFill="1" applyBorder="1" applyAlignment="1">
      <alignment horizontal="left" vertical="center"/>
    </xf>
    <xf numFmtId="49" fontId="22" fillId="67" borderId="1" xfId="4" applyNumberFormat="1" applyFont="1" applyFill="1" applyBorder="1" applyAlignment="1">
      <alignment horizontal="center" vertical="center"/>
    </xf>
    <xf numFmtId="0" fontId="22" fillId="67" borderId="1" xfId="4" applyFont="1" applyFill="1" applyBorder="1" applyAlignment="1">
      <alignment horizontal="center" vertical="center"/>
    </xf>
    <xf numFmtId="43" fontId="111" fillId="3" borderId="0" xfId="5" applyFont="1" applyFill="1" applyAlignment="1">
      <alignment vertical="center"/>
    </xf>
    <xf numFmtId="43" fontId="111" fillId="3" borderId="0" xfId="5" applyFont="1" applyFill="1" applyAlignment="1">
      <alignment vertical="center" wrapText="1"/>
    </xf>
    <xf numFmtId="43" fontId="111" fillId="3" borderId="0" xfId="5" applyFont="1" applyFill="1" applyAlignment="1">
      <alignment horizontal="left" vertical="center"/>
    </xf>
    <xf numFmtId="0" fontId="111" fillId="3" borderId="0" xfId="4" applyFont="1" applyFill="1" applyAlignment="1">
      <alignment horizontal="left" vertical="center"/>
    </xf>
    <xf numFmtId="0" fontId="110" fillId="3" borderId="0" xfId="4" applyFont="1" applyFill="1" applyAlignment="1">
      <alignment horizontal="left" vertical="center"/>
    </xf>
    <xf numFmtId="0" fontId="111" fillId="3" borderId="0" xfId="4" applyFont="1" applyFill="1" applyAlignment="1">
      <alignment horizontal="left" vertical="center" wrapText="1"/>
    </xf>
    <xf numFmtId="0" fontId="111" fillId="3" borderId="0" xfId="4" applyFont="1" applyFill="1" applyAlignment="1">
      <alignment vertical="center"/>
    </xf>
    <xf numFmtId="0" fontId="8" fillId="3" borderId="0" xfId="4" applyFont="1" applyFill="1" applyAlignment="1">
      <alignment horizontal="left" vertical="center"/>
    </xf>
    <xf numFmtId="0" fontId="8" fillId="3" borderId="0" xfId="4" applyFont="1" applyFill="1" applyAlignment="1">
      <alignment horizontal="left" vertical="center" wrapText="1"/>
    </xf>
    <xf numFmtId="0" fontId="111" fillId="0" borderId="0" xfId="4" applyFont="1" applyAlignment="1">
      <alignment vertical="center"/>
    </xf>
    <xf numFmtId="0" fontId="111" fillId="0" borderId="0" xfId="4" applyFont="1" applyAlignment="1">
      <alignment vertical="center" wrapText="1"/>
    </xf>
    <xf numFmtId="0" fontId="111" fillId="0" borderId="0" xfId="4" applyFont="1" applyAlignment="1">
      <alignment horizontal="left" vertical="center"/>
    </xf>
    <xf numFmtId="0" fontId="116" fillId="0" borderId="0" xfId="4" applyFont="1" applyAlignment="1">
      <alignment vertical="center"/>
    </xf>
    <xf numFmtId="0" fontId="8" fillId="0" borderId="0" xfId="0" applyFont="1" applyAlignment="1">
      <alignment vertical="center" wrapText="1"/>
    </xf>
    <xf numFmtId="0" fontId="117" fillId="0" borderId="0" xfId="4" applyFont="1" applyAlignment="1">
      <alignment vertical="center"/>
    </xf>
    <xf numFmtId="0" fontId="118" fillId="0" borderId="0" xfId="4" applyFont="1" applyAlignment="1">
      <alignment vertical="center"/>
    </xf>
    <xf numFmtId="0" fontId="111" fillId="3" borderId="7" xfId="4" applyFont="1" applyFill="1" applyBorder="1" applyAlignment="1">
      <alignment horizontal="center" vertical="center"/>
    </xf>
    <xf numFmtId="0" fontId="47" fillId="61" borderId="128" xfId="4" applyFont="1" applyFill="1" applyBorder="1" applyAlignment="1">
      <alignment horizontal="center" vertical="center"/>
    </xf>
    <xf numFmtId="0" fontId="112" fillId="61" borderId="7" xfId="4" applyFont="1" applyFill="1" applyBorder="1" applyAlignment="1">
      <alignment horizontal="center" vertical="center"/>
    </xf>
    <xf numFmtId="0" fontId="112" fillId="60" borderId="3" xfId="4" applyFont="1" applyFill="1" applyBorder="1" applyAlignment="1">
      <alignment horizontal="center" vertical="center"/>
    </xf>
    <xf numFmtId="0" fontId="47" fillId="60" borderId="3" xfId="4" applyFont="1" applyFill="1" applyBorder="1" applyAlignment="1">
      <alignment horizontal="center" vertical="center"/>
    </xf>
    <xf numFmtId="18" fontId="22" fillId="63" borderId="3" xfId="4" applyNumberFormat="1" applyFont="1" applyFill="1" applyBorder="1" applyAlignment="1">
      <alignment horizontal="center" vertical="center"/>
    </xf>
    <xf numFmtId="18" fontId="90" fillId="63" borderId="3" xfId="4" applyNumberFormat="1" applyFont="1" applyFill="1" applyBorder="1" applyAlignment="1">
      <alignment horizontal="center" vertical="center"/>
    </xf>
    <xf numFmtId="18" fontId="114" fillId="63" borderId="3" xfId="4" applyNumberFormat="1" applyFont="1" applyFill="1" applyBorder="1" applyAlignment="1">
      <alignment horizontal="center" vertical="center"/>
    </xf>
    <xf numFmtId="18" fontId="115" fillId="40" borderId="3" xfId="3" applyNumberFormat="1" applyFont="1" applyFill="1" applyBorder="1" applyAlignment="1">
      <alignment horizontal="center" vertical="center"/>
    </xf>
    <xf numFmtId="18" fontId="22" fillId="66" borderId="3" xfId="4" applyNumberFormat="1" applyFont="1" applyFill="1" applyBorder="1" applyAlignment="1">
      <alignment horizontal="center" vertical="center"/>
    </xf>
    <xf numFmtId="18" fontId="114" fillId="66" borderId="3" xfId="4" applyNumberFormat="1" applyFont="1" applyFill="1" applyBorder="1" applyAlignment="1">
      <alignment horizontal="center" vertical="center"/>
    </xf>
    <xf numFmtId="18" fontId="114" fillId="62" borderId="3" xfId="4" applyNumberFormat="1" applyFont="1" applyFill="1" applyBorder="1" applyAlignment="1">
      <alignment horizontal="center" vertical="center"/>
    </xf>
    <xf numFmtId="18" fontId="90" fillId="62" borderId="3" xfId="4" applyNumberFormat="1" applyFont="1" applyFill="1" applyBorder="1" applyAlignment="1">
      <alignment horizontal="center" vertical="center"/>
    </xf>
    <xf numFmtId="18" fontId="90" fillId="65" borderId="3" xfId="4" applyNumberFormat="1" applyFont="1" applyFill="1" applyBorder="1" applyAlignment="1">
      <alignment horizontal="center" vertical="center"/>
    </xf>
    <xf numFmtId="18" fontId="90" fillId="65" borderId="3" xfId="4" applyNumberFormat="1" applyFont="1" applyFill="1" applyBorder="1" applyAlignment="1">
      <alignment horizontal="center" vertical="center" wrapText="1"/>
    </xf>
    <xf numFmtId="18" fontId="114" fillId="65" borderId="3" xfId="4" applyNumberFormat="1" applyFont="1" applyFill="1" applyBorder="1" applyAlignment="1">
      <alignment horizontal="center" vertical="center"/>
    </xf>
    <xf numFmtId="18" fontId="22" fillId="65" borderId="3" xfId="4" applyNumberFormat="1" applyFont="1" applyFill="1" applyBorder="1" applyAlignment="1">
      <alignment horizontal="center" vertical="center"/>
    </xf>
    <xf numFmtId="18" fontId="22" fillId="67" borderId="3" xfId="4" applyNumberFormat="1" applyFont="1" applyFill="1" applyBorder="1" applyAlignment="1">
      <alignment horizontal="center" vertical="center"/>
    </xf>
    <xf numFmtId="43" fontId="111" fillId="3" borderId="0" xfId="5" applyFont="1" applyFill="1" applyAlignment="1">
      <alignment horizontal="center" vertical="center"/>
    </xf>
    <xf numFmtId="0" fontId="111" fillId="3" borderId="0" xfId="4" applyFont="1" applyFill="1" applyAlignment="1">
      <alignment horizontal="center" vertical="center"/>
    </xf>
    <xf numFmtId="0" fontId="8" fillId="3" borderId="0" xfId="4" applyFont="1" applyFill="1" applyAlignment="1">
      <alignment horizontal="center" vertical="center"/>
    </xf>
    <xf numFmtId="0" fontId="48" fillId="3" borderId="0" xfId="4" applyFont="1" applyFill="1" applyAlignment="1">
      <alignment horizontal="center" vertical="center"/>
    </xf>
    <xf numFmtId="0" fontId="111" fillId="0" borderId="0" xfId="4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10" borderId="35" xfId="0" applyFont="1" applyFill="1" applyBorder="1" applyAlignment="1">
      <alignment horizontal="left" vertical="center"/>
    </xf>
    <xf numFmtId="0" fontId="26" fillId="10" borderId="37" xfId="0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left" vertical="center"/>
    </xf>
    <xf numFmtId="49" fontId="15" fillId="3" borderId="1" xfId="0" applyNumberFormat="1" applyFont="1" applyFill="1" applyBorder="1" applyAlignment="1">
      <alignment horizontal="left" vertical="center"/>
    </xf>
    <xf numFmtId="0" fontId="71" fillId="0" borderId="3" xfId="0" applyFont="1" applyFill="1" applyBorder="1" applyAlignment="1">
      <alignment horizontal="left" vertical="center"/>
    </xf>
    <xf numFmtId="0" fontId="71" fillId="0" borderId="3" xfId="0" applyFont="1" applyFill="1" applyBorder="1" applyAlignment="1">
      <alignment horizontal="left" vertical="center" wrapText="1"/>
    </xf>
    <xf numFmtId="20" fontId="71" fillId="0" borderId="3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1" fillId="9" borderId="3" xfId="0" applyFont="1" applyFill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0" fontId="74" fillId="9" borderId="22" xfId="0" applyFont="1" applyFill="1" applyBorder="1" applyAlignment="1">
      <alignment horizontal="center" vertical="center"/>
    </xf>
    <xf numFmtId="0" fontId="74" fillId="9" borderId="3" xfId="0" applyFont="1" applyFill="1" applyBorder="1" applyAlignment="1">
      <alignment horizontal="center" vertical="center"/>
    </xf>
    <xf numFmtId="0" fontId="71" fillId="9" borderId="20" xfId="0" applyFont="1" applyFill="1" applyBorder="1" applyAlignment="1">
      <alignment horizontal="center" vertical="center"/>
    </xf>
    <xf numFmtId="0" fontId="71" fillId="3" borderId="3" xfId="0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71" fillId="0" borderId="3" xfId="0" applyFont="1" applyBorder="1" applyAlignment="1">
      <alignment horizontal="left" vertical="center"/>
    </xf>
    <xf numFmtId="0" fontId="71" fillId="0" borderId="3" xfId="0" applyFont="1" applyBorder="1" applyAlignment="1">
      <alignment horizontal="left" vertical="center" wrapText="1"/>
    </xf>
    <xf numFmtId="0" fontId="71" fillId="0" borderId="20" xfId="0" applyFont="1" applyFill="1" applyBorder="1" applyAlignment="1">
      <alignment horizontal="left" vertical="center" wrapText="1"/>
    </xf>
    <xf numFmtId="0" fontId="71" fillId="0" borderId="3" xfId="0" applyFont="1" applyBorder="1" applyAlignment="1">
      <alignment horizontal="center" vertical="center"/>
    </xf>
    <xf numFmtId="0" fontId="71" fillId="0" borderId="2" xfId="0" applyFont="1" applyFill="1" applyBorder="1" applyAlignment="1">
      <alignment horizontal="center" vertical="center"/>
    </xf>
    <xf numFmtId="0" fontId="70" fillId="9" borderId="3" xfId="0" applyFont="1" applyFill="1" applyBorder="1" applyAlignment="1">
      <alignment vertical="center"/>
    </xf>
    <xf numFmtId="0" fontId="71" fillId="9" borderId="23" xfId="0" applyFont="1" applyFill="1" applyBorder="1" applyAlignment="1">
      <alignment vertical="center"/>
    </xf>
    <xf numFmtId="0" fontId="71" fillId="9" borderId="3" xfId="0" applyFont="1" applyFill="1" applyBorder="1" applyAlignment="1">
      <alignment vertical="center"/>
    </xf>
    <xf numFmtId="0" fontId="71" fillId="9" borderId="23" xfId="0" applyFont="1" applyFill="1" applyBorder="1" applyAlignment="1">
      <alignment horizontal="center" vertical="center"/>
    </xf>
    <xf numFmtId="0" fontId="71" fillId="9" borderId="21" xfId="0" applyFont="1" applyFill="1" applyBorder="1" applyAlignment="1">
      <alignment horizontal="center" vertical="center"/>
    </xf>
    <xf numFmtId="0" fontId="71" fillId="0" borderId="24" xfId="0" applyFont="1" applyFill="1" applyBorder="1" applyAlignment="1">
      <alignment horizontal="left" vertical="center"/>
    </xf>
    <xf numFmtId="0" fontId="71" fillId="0" borderId="24" xfId="0" applyFont="1" applyFill="1" applyBorder="1" applyAlignment="1">
      <alignment horizontal="left" vertical="center" wrapText="1"/>
    </xf>
    <xf numFmtId="0" fontId="71" fillId="0" borderId="24" xfId="0" applyFont="1" applyFill="1" applyBorder="1" applyAlignment="1">
      <alignment horizontal="center" vertical="center"/>
    </xf>
    <xf numFmtId="0" fontId="70" fillId="9" borderId="1" xfId="0" applyFont="1" applyFill="1" applyBorder="1" applyAlignment="1">
      <alignment vertical="center"/>
    </xf>
    <xf numFmtId="20" fontId="71" fillId="6" borderId="3" xfId="0" applyNumberFormat="1" applyFont="1" applyFill="1" applyBorder="1" applyAlignment="1">
      <alignment horizontal="center" vertical="center"/>
    </xf>
    <xf numFmtId="0" fontId="72" fillId="3" borderId="0" xfId="0" applyFont="1" applyFill="1" applyAlignment="1">
      <alignment horizontal="center" vertical="center"/>
    </xf>
    <xf numFmtId="0" fontId="71" fillId="9" borderId="2" xfId="0" applyFont="1" applyFill="1" applyBorder="1" applyAlignment="1">
      <alignment horizontal="center" vertical="center"/>
    </xf>
    <xf numFmtId="0" fontId="71" fillId="9" borderId="1" xfId="0" applyFont="1" applyFill="1" applyBorder="1" applyAlignment="1">
      <alignment horizontal="center" vertical="center"/>
    </xf>
    <xf numFmtId="0" fontId="70" fillId="9" borderId="3" xfId="0" applyFont="1" applyFill="1" applyBorder="1" applyAlignment="1">
      <alignment horizontal="center" vertical="center"/>
    </xf>
    <xf numFmtId="0" fontId="70" fillId="9" borderId="2" xfId="0" applyFont="1" applyFill="1" applyBorder="1" applyAlignment="1">
      <alignment horizontal="center" vertical="center"/>
    </xf>
    <xf numFmtId="0" fontId="71" fillId="3" borderId="21" xfId="0" applyFont="1" applyFill="1" applyBorder="1" applyAlignment="1">
      <alignment horizontal="center" vertical="center"/>
    </xf>
    <xf numFmtId="0" fontId="75" fillId="9" borderId="3" xfId="0" applyFont="1" applyFill="1" applyBorder="1" applyAlignment="1">
      <alignment horizontal="center" vertical="center"/>
    </xf>
    <xf numFmtId="0" fontId="76" fillId="9" borderId="3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vertical="center"/>
    </xf>
    <xf numFmtId="0" fontId="70" fillId="3" borderId="3" xfId="0" applyFont="1" applyFill="1" applyBorder="1" applyAlignment="1">
      <alignment vertical="center"/>
    </xf>
    <xf numFmtId="0" fontId="70" fillId="9" borderId="23" xfId="0" applyFont="1" applyFill="1" applyBorder="1" applyAlignment="1">
      <alignment vertical="center"/>
    </xf>
    <xf numFmtId="0" fontId="70" fillId="3" borderId="23" xfId="0" applyFont="1" applyFill="1" applyBorder="1" applyAlignment="1">
      <alignment vertical="center"/>
    </xf>
    <xf numFmtId="0" fontId="71" fillId="3" borderId="23" xfId="0" applyFont="1" applyFill="1" applyBorder="1" applyAlignment="1">
      <alignment horizontal="center" vertical="center"/>
    </xf>
    <xf numFmtId="0" fontId="71" fillId="3" borderId="2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/>
    </xf>
    <xf numFmtId="0" fontId="70" fillId="2" borderId="2" xfId="0" applyFont="1" applyFill="1" applyBorder="1" applyAlignment="1">
      <alignment horizontal="center"/>
    </xf>
    <xf numFmtId="0" fontId="70" fillId="2" borderId="3" xfId="0" applyFont="1" applyFill="1" applyBorder="1" applyAlignment="1">
      <alignment horizontal="center"/>
    </xf>
    <xf numFmtId="0" fontId="70" fillId="4" borderId="4" xfId="0" applyFont="1" applyFill="1" applyBorder="1" applyAlignment="1">
      <alignment horizontal="center" vertical="center" wrapText="1"/>
    </xf>
    <xf numFmtId="0" fontId="70" fillId="4" borderId="5" xfId="0" applyFont="1" applyFill="1" applyBorder="1" applyAlignment="1">
      <alignment horizontal="center" vertical="center" wrapText="1"/>
    </xf>
    <xf numFmtId="0" fontId="70" fillId="4" borderId="11" xfId="0" applyFont="1" applyFill="1" applyBorder="1" applyAlignment="1">
      <alignment horizontal="center" vertical="center" wrapText="1"/>
    </xf>
    <xf numFmtId="0" fontId="70" fillId="4" borderId="12" xfId="0" applyFont="1" applyFill="1" applyBorder="1" applyAlignment="1">
      <alignment horizontal="center" vertical="center" wrapText="1"/>
    </xf>
    <xf numFmtId="0" fontId="70" fillId="4" borderId="6" xfId="0" applyFont="1" applyFill="1" applyBorder="1" applyAlignment="1">
      <alignment horizontal="center"/>
    </xf>
    <xf numFmtId="0" fontId="70" fillId="4" borderId="7" xfId="0" applyFont="1" applyFill="1" applyBorder="1" applyAlignment="1">
      <alignment horizontal="center"/>
    </xf>
    <xf numFmtId="0" fontId="70" fillId="4" borderId="5" xfId="0" applyFont="1" applyFill="1" applyBorder="1" applyAlignment="1">
      <alignment horizontal="center"/>
    </xf>
    <xf numFmtId="0" fontId="70" fillId="4" borderId="13" xfId="0" applyFont="1" applyFill="1" applyBorder="1" applyAlignment="1">
      <alignment horizontal="center"/>
    </xf>
    <xf numFmtId="0" fontId="70" fillId="4" borderId="14" xfId="0" applyFont="1" applyFill="1" applyBorder="1" applyAlignment="1">
      <alignment horizontal="center"/>
    </xf>
    <xf numFmtId="0" fontId="70" fillId="4" borderId="15" xfId="0" applyFont="1" applyFill="1" applyBorder="1" applyAlignment="1">
      <alignment horizontal="center"/>
    </xf>
    <xf numFmtId="0" fontId="70" fillId="5" borderId="8" xfId="0" applyFont="1" applyFill="1" applyBorder="1" applyAlignment="1">
      <alignment horizontal="center"/>
    </xf>
    <xf numFmtId="0" fontId="70" fillId="5" borderId="9" xfId="0" applyFont="1" applyFill="1" applyBorder="1" applyAlignment="1">
      <alignment horizontal="center"/>
    </xf>
    <xf numFmtId="0" fontId="70" fillId="5" borderId="10" xfId="0" applyFont="1" applyFill="1" applyBorder="1" applyAlignment="1">
      <alignment horizontal="center"/>
    </xf>
    <xf numFmtId="0" fontId="71" fillId="5" borderId="16" xfId="0" applyFont="1" applyFill="1" applyBorder="1" applyAlignment="1">
      <alignment horizontal="center" wrapText="1"/>
    </xf>
    <xf numFmtId="0" fontId="71" fillId="5" borderId="17" xfId="0" applyFont="1" applyFill="1" applyBorder="1" applyAlignment="1">
      <alignment horizontal="center" wrapText="1"/>
    </xf>
    <xf numFmtId="0" fontId="71" fillId="5" borderId="18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 wrapText="1"/>
    </xf>
    <xf numFmtId="0" fontId="70" fillId="4" borderId="19" xfId="0" applyFont="1" applyFill="1" applyBorder="1" applyAlignment="1">
      <alignment horizontal="center" vertical="center"/>
    </xf>
    <xf numFmtId="0" fontId="70" fillId="4" borderId="21" xfId="0" applyFont="1" applyFill="1" applyBorder="1" applyAlignment="1">
      <alignment horizontal="center" vertical="center"/>
    </xf>
    <xf numFmtId="0" fontId="70" fillId="4" borderId="19" xfId="0" applyFont="1" applyFill="1" applyBorder="1" applyAlignment="1">
      <alignment horizontal="left" wrapText="1"/>
    </xf>
    <xf numFmtId="0" fontId="70" fillId="4" borderId="21" xfId="0" applyFont="1" applyFill="1" applyBorder="1" applyAlignment="1">
      <alignment horizontal="left" wrapText="1"/>
    </xf>
    <xf numFmtId="0" fontId="70" fillId="4" borderId="20" xfId="0" applyFont="1" applyFill="1" applyBorder="1" applyAlignment="1">
      <alignment horizontal="left" wrapText="1"/>
    </xf>
    <xf numFmtId="0" fontId="70" fillId="4" borderId="20" xfId="0" applyFont="1" applyFill="1" applyBorder="1" applyAlignment="1">
      <alignment horizontal="left" vertical="center" wrapText="1"/>
    </xf>
    <xf numFmtId="0" fontId="70" fillId="4" borderId="21" xfId="0" applyFont="1" applyFill="1" applyBorder="1" applyAlignment="1">
      <alignment horizontal="left" vertical="center" wrapText="1"/>
    </xf>
    <xf numFmtId="0" fontId="70" fillId="4" borderId="20" xfId="0" applyFont="1" applyFill="1" applyBorder="1" applyAlignment="1">
      <alignment horizontal="center" wrapText="1"/>
    </xf>
    <xf numFmtId="0" fontId="70" fillId="4" borderId="21" xfId="0" applyFont="1" applyFill="1" applyBorder="1" applyAlignment="1">
      <alignment horizontal="center" wrapText="1"/>
    </xf>
    <xf numFmtId="0" fontId="70" fillId="6" borderId="20" xfId="0" applyFont="1" applyFill="1" applyBorder="1" applyAlignment="1">
      <alignment horizontal="center" wrapText="1"/>
    </xf>
    <xf numFmtId="0" fontId="70" fillId="6" borderId="21" xfId="0" applyFont="1" applyFill="1" applyBorder="1" applyAlignment="1">
      <alignment horizontal="center" wrapText="1"/>
    </xf>
    <xf numFmtId="0" fontId="70" fillId="9" borderId="1" xfId="0" applyFont="1" applyFill="1" applyBorder="1" applyAlignment="1">
      <alignment horizontal="center" vertical="center"/>
    </xf>
    <xf numFmtId="0" fontId="71" fillId="9" borderId="23" xfId="0" applyFont="1" applyFill="1" applyBorder="1" applyAlignment="1">
      <alignment horizontal="center" vertical="center"/>
    </xf>
    <xf numFmtId="0" fontId="71" fillId="9" borderId="2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left" vertical="center" wrapText="1"/>
    </xf>
    <xf numFmtId="0" fontId="77" fillId="0" borderId="0" xfId="0" applyFont="1" applyFill="1" applyBorder="1" applyAlignment="1">
      <alignment horizontal="left" vertical="center" wrapText="1"/>
    </xf>
    <xf numFmtId="0" fontId="70" fillId="4" borderId="1" xfId="0" applyFont="1" applyFill="1" applyBorder="1" applyAlignment="1">
      <alignment horizontal="center" wrapText="1"/>
    </xf>
    <xf numFmtId="0" fontId="70" fillId="4" borderId="2" xfId="0" applyFont="1" applyFill="1" applyBorder="1" applyAlignment="1">
      <alignment horizontal="center" wrapText="1"/>
    </xf>
    <xf numFmtId="0" fontId="23" fillId="10" borderId="16" xfId="0" applyFont="1" applyFill="1" applyBorder="1" applyAlignment="1">
      <alignment horizontal="center" vertical="center"/>
    </xf>
    <xf numFmtId="0" fontId="23" fillId="10" borderId="17" xfId="0" applyFont="1" applyFill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left"/>
    </xf>
    <xf numFmtId="0" fontId="18" fillId="10" borderId="35" xfId="0" applyFont="1" applyFill="1" applyBorder="1" applyAlignment="1">
      <alignment horizontal="left"/>
    </xf>
    <xf numFmtId="0" fontId="26" fillId="10" borderId="25" xfId="0" applyFont="1" applyFill="1" applyBorder="1" applyAlignment="1">
      <alignment horizontal="center" wrapText="1"/>
    </xf>
    <xf numFmtId="0" fontId="26" fillId="10" borderId="26" xfId="0" applyFont="1" applyFill="1" applyBorder="1" applyAlignment="1">
      <alignment horizontal="center" wrapText="1"/>
    </xf>
    <xf numFmtId="0" fontId="26" fillId="10" borderId="27" xfId="0" applyFont="1" applyFill="1" applyBorder="1" applyAlignment="1">
      <alignment horizontal="center" wrapText="1"/>
    </xf>
    <xf numFmtId="0" fontId="3" fillId="0" borderId="3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83" fillId="3" borderId="1" xfId="0" applyNumberFormat="1" applyFont="1" applyFill="1" applyBorder="1" applyAlignment="1">
      <alignment horizontal="center"/>
    </xf>
    <xf numFmtId="0" fontId="83" fillId="3" borderId="23" xfId="0" applyNumberFormat="1" applyFont="1" applyFill="1" applyBorder="1" applyAlignment="1">
      <alignment horizontal="center"/>
    </xf>
    <xf numFmtId="0" fontId="83" fillId="3" borderId="2" xfId="0" applyNumberFormat="1" applyFont="1" applyFill="1" applyBorder="1" applyAlignment="1">
      <alignment horizontal="center"/>
    </xf>
    <xf numFmtId="0" fontId="48" fillId="11" borderId="36" xfId="0" applyNumberFormat="1" applyFont="1" applyFill="1" applyBorder="1" applyAlignment="1">
      <alignment horizontal="center"/>
    </xf>
    <xf numFmtId="0" fontId="48" fillId="11" borderId="37" xfId="0" applyNumberFormat="1" applyFont="1" applyFill="1" applyBorder="1" applyAlignment="1">
      <alignment horizontal="center"/>
    </xf>
    <xf numFmtId="0" fontId="79" fillId="11" borderId="36" xfId="0" applyNumberFormat="1" applyFont="1" applyFill="1" applyBorder="1" applyAlignment="1">
      <alignment horizontal="center"/>
    </xf>
    <xf numFmtId="0" fontId="79" fillId="11" borderId="37" xfId="0" applyNumberFormat="1" applyFont="1" applyFill="1" applyBorder="1" applyAlignment="1">
      <alignment horizontal="center"/>
    </xf>
    <xf numFmtId="0" fontId="48" fillId="11" borderId="39" xfId="0" applyNumberFormat="1" applyFont="1" applyFill="1" applyBorder="1" applyAlignment="1">
      <alignment horizontal="left"/>
    </xf>
    <xf numFmtId="0" fontId="48" fillId="11" borderId="0" xfId="0" applyNumberFormat="1" applyFont="1" applyFill="1" applyBorder="1" applyAlignment="1">
      <alignment horizontal="left"/>
    </xf>
    <xf numFmtId="0" fontId="48" fillId="11" borderId="36" xfId="0" applyNumberFormat="1" applyFont="1" applyFill="1" applyBorder="1" applyAlignment="1">
      <alignment horizontal="left" wrapText="1"/>
    </xf>
    <xf numFmtId="0" fontId="48" fillId="11" borderId="37" xfId="0" applyNumberFormat="1" applyFont="1" applyFill="1" applyBorder="1" applyAlignment="1">
      <alignment horizontal="left" wrapText="1"/>
    </xf>
    <xf numFmtId="0" fontId="48" fillId="11" borderId="40" xfId="0" applyNumberFormat="1" applyFont="1" applyFill="1" applyBorder="1" applyAlignment="1">
      <alignment horizontal="left" wrapText="1"/>
    </xf>
    <xf numFmtId="0" fontId="83" fillId="12" borderId="1" xfId="0" applyFont="1" applyFill="1" applyBorder="1" applyAlignment="1">
      <alignment horizontal="center"/>
    </xf>
    <xf numFmtId="0" fontId="83" fillId="12" borderId="23" xfId="0" applyFont="1" applyFill="1" applyBorder="1" applyAlignment="1">
      <alignment horizontal="center"/>
    </xf>
    <xf numFmtId="0" fontId="83" fillId="12" borderId="2" xfId="0" applyFont="1" applyFill="1" applyBorder="1" applyAlignment="1">
      <alignment horizontal="center"/>
    </xf>
    <xf numFmtId="0" fontId="48" fillId="0" borderId="0" xfId="0" applyFont="1" applyAlignment="1">
      <alignment horizontal="left"/>
    </xf>
    <xf numFmtId="0" fontId="6" fillId="12" borderId="1" xfId="0" applyNumberFormat="1" applyFont="1" applyFill="1" applyBorder="1" applyAlignment="1">
      <alignment horizontal="center"/>
    </xf>
    <xf numFmtId="0" fontId="6" fillId="12" borderId="23" xfId="0" applyNumberFormat="1" applyFont="1" applyFill="1" applyBorder="1" applyAlignment="1">
      <alignment horizontal="center"/>
    </xf>
    <xf numFmtId="0" fontId="6" fillId="12" borderId="2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3" borderId="1" xfId="0" applyNumberFormat="1" applyFont="1" applyFill="1" applyBorder="1" applyAlignment="1">
      <alignment horizontal="center"/>
    </xf>
    <xf numFmtId="0" fontId="6" fillId="3" borderId="23" xfId="0" applyNumberFormat="1" applyFont="1" applyFill="1" applyBorder="1" applyAlignment="1">
      <alignment horizontal="center"/>
    </xf>
    <xf numFmtId="0" fontId="6" fillId="3" borderId="2" xfId="0" applyNumberFormat="1" applyFont="1" applyFill="1" applyBorder="1" applyAlignment="1">
      <alignment horizontal="center"/>
    </xf>
    <xf numFmtId="0" fontId="83" fillId="12" borderId="1" xfId="0" applyNumberFormat="1" applyFont="1" applyFill="1" applyBorder="1" applyAlignment="1">
      <alignment horizontal="center"/>
    </xf>
    <xf numFmtId="0" fontId="83" fillId="12" borderId="23" xfId="0" applyNumberFormat="1" applyFont="1" applyFill="1" applyBorder="1" applyAlignment="1">
      <alignment horizontal="center"/>
    </xf>
    <xf numFmtId="0" fontId="83" fillId="12" borderId="2" xfId="0" applyNumberFormat="1" applyFont="1" applyFill="1" applyBorder="1" applyAlignment="1">
      <alignment horizontal="center"/>
    </xf>
    <xf numFmtId="0" fontId="48" fillId="0" borderId="0" xfId="0" applyNumberFormat="1" applyFont="1" applyAlignment="1">
      <alignment horizontal="left"/>
    </xf>
    <xf numFmtId="0" fontId="48" fillId="0" borderId="0" xfId="0" applyFont="1" applyAlignment="1">
      <alignment horizontal="center"/>
    </xf>
    <xf numFmtId="0" fontId="48" fillId="3" borderId="0" xfId="0" applyFont="1" applyFill="1" applyAlignment="1">
      <alignment horizontal="center"/>
    </xf>
    <xf numFmtId="0" fontId="61" fillId="19" borderId="6" xfId="0" applyFont="1" applyFill="1" applyBorder="1" applyAlignment="1">
      <alignment horizontal="center" vertical="center"/>
    </xf>
    <xf numFmtId="0" fontId="61" fillId="19" borderId="7" xfId="0" applyFont="1" applyFill="1" applyBorder="1" applyAlignment="1">
      <alignment horizontal="center" vertical="center"/>
    </xf>
    <xf numFmtId="0" fontId="61" fillId="19" borderId="5" xfId="0" applyFont="1" applyFill="1" applyBorder="1" applyAlignment="1">
      <alignment horizontal="center" vertical="center"/>
    </xf>
    <xf numFmtId="0" fontId="61" fillId="19" borderId="13" xfId="0" applyFont="1" applyFill="1" applyBorder="1" applyAlignment="1">
      <alignment horizontal="center" vertical="center"/>
    </xf>
    <xf numFmtId="0" fontId="61" fillId="19" borderId="14" xfId="0" applyFont="1" applyFill="1" applyBorder="1" applyAlignment="1">
      <alignment horizontal="center" vertical="center"/>
    </xf>
    <xf numFmtId="0" fontId="61" fillId="19" borderId="15" xfId="0" applyFont="1" applyFill="1" applyBorder="1" applyAlignment="1">
      <alignment horizontal="center" vertical="center"/>
    </xf>
    <xf numFmtId="0" fontId="42" fillId="18" borderId="42" xfId="0" applyFont="1" applyFill="1" applyBorder="1" applyAlignment="1">
      <alignment horizontal="center" vertical="center"/>
    </xf>
    <xf numFmtId="0" fontId="42" fillId="18" borderId="0" xfId="0" applyFont="1" applyFill="1" applyAlignment="1">
      <alignment horizontal="center" vertical="center"/>
    </xf>
    <xf numFmtId="0" fontId="42" fillId="18" borderId="43" xfId="0" applyFont="1" applyFill="1" applyBorder="1" applyAlignment="1">
      <alignment horizontal="center" vertical="center"/>
    </xf>
    <xf numFmtId="17" fontId="43" fillId="18" borderId="6" xfId="0" applyNumberFormat="1" applyFont="1" applyFill="1" applyBorder="1" applyAlignment="1">
      <alignment horizontal="center" vertical="center"/>
    </xf>
    <xf numFmtId="17" fontId="43" fillId="18" borderId="7" xfId="0" applyNumberFormat="1" applyFont="1" applyFill="1" applyBorder="1" applyAlignment="1">
      <alignment horizontal="center" vertical="center"/>
    </xf>
    <xf numFmtId="17" fontId="43" fillId="18" borderId="5" xfId="0" applyNumberFormat="1" applyFont="1" applyFill="1" applyBorder="1" applyAlignment="1">
      <alignment horizontal="center" vertical="center"/>
    </xf>
    <xf numFmtId="0" fontId="42" fillId="18" borderId="13" xfId="0" applyFont="1" applyFill="1" applyBorder="1" applyAlignment="1">
      <alignment horizontal="center" vertical="center"/>
    </xf>
    <xf numFmtId="0" fontId="42" fillId="18" borderId="14" xfId="0" applyFont="1" applyFill="1" applyBorder="1" applyAlignment="1">
      <alignment horizontal="center" vertical="center"/>
    </xf>
    <xf numFmtId="0" fontId="42" fillId="18" borderId="15" xfId="0" applyFont="1" applyFill="1" applyBorder="1" applyAlignment="1">
      <alignment horizontal="center" vertical="center"/>
    </xf>
    <xf numFmtId="17" fontId="43" fillId="18" borderId="13" xfId="0" applyNumberFormat="1" applyFont="1" applyFill="1" applyBorder="1" applyAlignment="1">
      <alignment horizontal="center" vertical="center"/>
    </xf>
    <xf numFmtId="17" fontId="43" fillId="18" borderId="14" xfId="0" applyNumberFormat="1" applyFont="1" applyFill="1" applyBorder="1" applyAlignment="1">
      <alignment horizontal="center" vertical="center"/>
    </xf>
    <xf numFmtId="17" fontId="43" fillId="18" borderId="15" xfId="0" applyNumberFormat="1" applyFont="1" applyFill="1" applyBorder="1" applyAlignment="1">
      <alignment horizontal="center" vertical="center"/>
    </xf>
    <xf numFmtId="0" fontId="86" fillId="20" borderId="1" xfId="0" applyFont="1" applyFill="1" applyBorder="1" applyAlignment="1">
      <alignment horizontal="center" vertical="center"/>
    </xf>
    <xf numFmtId="0" fontId="86" fillId="20" borderId="23" xfId="0" applyFont="1" applyFill="1" applyBorder="1" applyAlignment="1">
      <alignment horizontal="center" vertical="center"/>
    </xf>
    <xf numFmtId="0" fontId="86" fillId="20" borderId="2" xfId="0" applyFont="1" applyFill="1" applyBorder="1" applyAlignment="1">
      <alignment horizontal="center" vertical="center"/>
    </xf>
    <xf numFmtId="0" fontId="86" fillId="0" borderId="44" xfId="0" applyFont="1" applyBorder="1" applyAlignment="1">
      <alignment horizontal="center" vertical="center"/>
    </xf>
    <xf numFmtId="0" fontId="86" fillId="0" borderId="47" xfId="0" applyFont="1" applyBorder="1" applyAlignment="1">
      <alignment horizontal="center" vertical="center"/>
    </xf>
    <xf numFmtId="0" fontId="44" fillId="0" borderId="45" xfId="0" applyFont="1" applyBorder="1" applyAlignment="1">
      <alignment horizontal="center" vertical="center" wrapText="1"/>
    </xf>
    <xf numFmtId="0" fontId="44" fillId="0" borderId="48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 wrapText="1"/>
    </xf>
    <xf numFmtId="0" fontId="44" fillId="0" borderId="50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89" fillId="20" borderId="1" xfId="0" applyFont="1" applyFill="1" applyBorder="1" applyAlignment="1">
      <alignment horizontal="center" vertical="center"/>
    </xf>
    <xf numFmtId="0" fontId="89" fillId="20" borderId="23" xfId="0" applyFont="1" applyFill="1" applyBorder="1" applyAlignment="1">
      <alignment horizontal="center" vertical="center"/>
    </xf>
    <xf numFmtId="0" fontId="89" fillId="20" borderId="2" xfId="0" applyFont="1" applyFill="1" applyBorder="1" applyAlignment="1">
      <alignment horizontal="center" vertical="center"/>
    </xf>
    <xf numFmtId="0" fontId="83" fillId="3" borderId="0" xfId="0" applyFont="1" applyFill="1"/>
    <xf numFmtId="0" fontId="8" fillId="0" borderId="0" xfId="0" applyFont="1"/>
    <xf numFmtId="0" fontId="70" fillId="25" borderId="14" xfId="0" applyFont="1" applyFill="1" applyBorder="1" applyAlignment="1">
      <alignment horizontal="left" vertical="center"/>
    </xf>
    <xf numFmtId="0" fontId="70" fillId="25" borderId="15" xfId="0" applyFont="1" applyFill="1" applyBorder="1" applyAlignment="1">
      <alignment horizontal="left" vertical="center"/>
    </xf>
    <xf numFmtId="0" fontId="70" fillId="25" borderId="1" xfId="0" applyFont="1" applyFill="1" applyBorder="1" applyAlignment="1">
      <alignment horizontal="center" vertical="center" wrapText="1"/>
    </xf>
    <xf numFmtId="0" fontId="70" fillId="25" borderId="23" xfId="0" applyFont="1" applyFill="1" applyBorder="1" applyAlignment="1">
      <alignment horizontal="center" vertical="center" wrapText="1"/>
    </xf>
    <xf numFmtId="0" fontId="70" fillId="25" borderId="2" xfId="0" applyFont="1" applyFill="1" applyBorder="1" applyAlignment="1">
      <alignment horizontal="center" vertical="center" wrapText="1"/>
    </xf>
    <xf numFmtId="0" fontId="54" fillId="20" borderId="60" xfId="0" applyFont="1" applyFill="1" applyBorder="1" applyAlignment="1">
      <alignment horizontal="center" vertical="center"/>
    </xf>
    <xf numFmtId="0" fontId="11" fillId="20" borderId="61" xfId="0" applyFont="1" applyFill="1" applyBorder="1" applyAlignment="1">
      <alignment horizontal="center" vertical="center"/>
    </xf>
    <xf numFmtId="0" fontId="11" fillId="20" borderId="103" xfId="0" applyFont="1" applyFill="1" applyBorder="1" applyAlignment="1">
      <alignment horizontal="center" vertical="center"/>
    </xf>
    <xf numFmtId="0" fontId="35" fillId="20" borderId="60" xfId="0" applyFont="1" applyFill="1" applyBorder="1" applyAlignment="1">
      <alignment horizontal="center" vertical="center"/>
    </xf>
    <xf numFmtId="0" fontId="35" fillId="20" borderId="61" xfId="0" applyFont="1" applyFill="1" applyBorder="1" applyAlignment="1">
      <alignment horizontal="center" vertical="center"/>
    </xf>
    <xf numFmtId="0" fontId="35" fillId="20" borderId="64" xfId="0" applyFont="1" applyFill="1" applyBorder="1" applyAlignment="1">
      <alignment horizontal="center" vertical="center"/>
    </xf>
    <xf numFmtId="0" fontId="54" fillId="44" borderId="25" xfId="0" applyFont="1" applyFill="1" applyBorder="1" applyAlignment="1">
      <alignment horizontal="center" vertical="center"/>
    </xf>
    <xf numFmtId="0" fontId="54" fillId="44" borderId="26" xfId="0" applyFont="1" applyFill="1" applyBorder="1" applyAlignment="1">
      <alignment horizontal="center" vertical="center"/>
    </xf>
    <xf numFmtId="0" fontId="54" fillId="44" borderId="27" xfId="0" applyFont="1" applyFill="1" applyBorder="1" applyAlignment="1">
      <alignment horizontal="center" vertical="center"/>
    </xf>
    <xf numFmtId="0" fontId="54" fillId="20" borderId="25" xfId="0" applyFont="1" applyFill="1" applyBorder="1" applyAlignment="1">
      <alignment horizontal="center" vertical="center"/>
    </xf>
    <xf numFmtId="0" fontId="54" fillId="20" borderId="26" xfId="0" applyFont="1" applyFill="1" applyBorder="1" applyAlignment="1">
      <alignment horizontal="center" vertical="center"/>
    </xf>
    <xf numFmtId="0" fontId="54" fillId="20" borderId="27" xfId="0" applyFont="1" applyFill="1" applyBorder="1" applyAlignment="1">
      <alignment horizontal="center" vertical="center"/>
    </xf>
    <xf numFmtId="0" fontId="3" fillId="20" borderId="62" xfId="0" applyFont="1" applyFill="1" applyBorder="1" applyAlignment="1">
      <alignment horizontal="center" vertical="center" wrapText="1"/>
    </xf>
    <xf numFmtId="0" fontId="3" fillId="20" borderId="69" xfId="0" applyFont="1" applyFill="1" applyBorder="1" applyAlignment="1">
      <alignment horizontal="center" vertical="center" wrapText="1"/>
    </xf>
    <xf numFmtId="0" fontId="3" fillId="20" borderId="63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/>
    </xf>
    <xf numFmtId="0" fontId="3" fillId="11" borderId="26" xfId="0" applyFont="1" applyFill="1" applyBorder="1" applyAlignment="1">
      <alignment horizontal="center" vertical="center"/>
    </xf>
    <xf numFmtId="0" fontId="3" fillId="11" borderId="27" xfId="0" applyFont="1" applyFill="1" applyBorder="1" applyAlignment="1">
      <alignment horizontal="center" vertical="center"/>
    </xf>
    <xf numFmtId="0" fontId="11" fillId="11" borderId="62" xfId="0" applyFont="1" applyFill="1" applyBorder="1" applyAlignment="1">
      <alignment horizontal="center" vertical="center"/>
    </xf>
    <xf numFmtId="0" fontId="11" fillId="11" borderId="63" xfId="0" applyFont="1" applyFill="1" applyBorder="1" applyAlignment="1">
      <alignment horizontal="center" vertical="center"/>
    </xf>
    <xf numFmtId="0" fontId="51" fillId="11" borderId="25" xfId="0" applyFont="1" applyFill="1" applyBorder="1" applyAlignment="1">
      <alignment horizontal="center" vertical="center"/>
    </xf>
    <xf numFmtId="0" fontId="51" fillId="11" borderId="27" xfId="0" applyFont="1" applyFill="1" applyBorder="1" applyAlignment="1">
      <alignment horizontal="center" vertical="center"/>
    </xf>
    <xf numFmtId="0" fontId="50" fillId="43" borderId="73" xfId="0" applyFont="1" applyFill="1" applyBorder="1" applyAlignment="1">
      <alignment horizontal="left" vertical="center"/>
    </xf>
    <xf numFmtId="0" fontId="50" fillId="43" borderId="0" xfId="0" applyFont="1" applyFill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2" fillId="20" borderId="26" xfId="0" applyFont="1" applyFill="1" applyBorder="1" applyAlignment="1">
      <alignment horizontal="center" vertical="center"/>
    </xf>
    <xf numFmtId="0" fontId="50" fillId="42" borderId="74" xfId="0" applyFont="1" applyFill="1" applyBorder="1" applyAlignment="1">
      <alignment horizontal="left" vertical="center"/>
    </xf>
    <xf numFmtId="0" fontId="50" fillId="42" borderId="35" xfId="0" applyFont="1" applyFill="1" applyBorder="1" applyAlignment="1">
      <alignment horizontal="left" vertical="center"/>
    </xf>
    <xf numFmtId="0" fontId="35" fillId="20" borderId="26" xfId="0" applyFont="1" applyFill="1" applyBorder="1" applyAlignment="1">
      <alignment horizontal="center" vertical="center"/>
    </xf>
    <xf numFmtId="0" fontId="2" fillId="51" borderId="53" xfId="0" applyFont="1" applyFill="1" applyBorder="1" applyAlignment="1">
      <alignment horizontal="left" vertical="center"/>
    </xf>
    <xf numFmtId="0" fontId="2" fillId="51" borderId="23" xfId="0" applyFont="1" applyFill="1" applyBorder="1" applyAlignment="1">
      <alignment horizontal="left" vertical="center"/>
    </xf>
    <xf numFmtId="0" fontId="2" fillId="51" borderId="66" xfId="0" applyFont="1" applyFill="1" applyBorder="1" applyAlignment="1">
      <alignment horizontal="left" vertical="center"/>
    </xf>
    <xf numFmtId="0" fontId="0" fillId="48" borderId="4" xfId="0" applyFont="1" applyFill="1" applyBorder="1" applyAlignment="1">
      <alignment horizontal="left" vertical="center"/>
    </xf>
    <xf numFmtId="0" fontId="0" fillId="48" borderId="7" xfId="0" applyFont="1" applyFill="1" applyBorder="1" applyAlignment="1">
      <alignment horizontal="left" vertical="center"/>
    </xf>
    <xf numFmtId="0" fontId="0" fillId="48" borderId="65" xfId="0" applyFont="1" applyFill="1" applyBorder="1" applyAlignment="1">
      <alignment horizontal="left" vertical="center"/>
    </xf>
    <xf numFmtId="0" fontId="0" fillId="46" borderId="16" xfId="0" applyFont="1" applyFill="1" applyBorder="1" applyAlignment="1">
      <alignment horizontal="left" vertical="center"/>
    </xf>
    <xf numFmtId="0" fontId="0" fillId="46" borderId="17" xfId="0" applyFont="1" applyFill="1" applyBorder="1" applyAlignment="1">
      <alignment horizontal="left" vertical="center"/>
    </xf>
    <xf numFmtId="0" fontId="0" fillId="46" borderId="18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left" vertical="center"/>
    </xf>
    <xf numFmtId="0" fontId="0" fillId="12" borderId="23" xfId="0" applyFont="1" applyFill="1" applyBorder="1" applyAlignment="1">
      <alignment horizontal="left" vertical="center"/>
    </xf>
    <xf numFmtId="0" fontId="0" fillId="12" borderId="66" xfId="0" applyFont="1" applyFill="1" applyBorder="1" applyAlignment="1">
      <alignment horizontal="left" vertical="center"/>
    </xf>
    <xf numFmtId="0" fontId="4" fillId="50" borderId="53" xfId="0" applyFont="1" applyFill="1" applyBorder="1" applyAlignment="1">
      <alignment horizontal="left" vertical="center"/>
    </xf>
    <xf numFmtId="0" fontId="4" fillId="50" borderId="23" xfId="0" applyFont="1" applyFill="1" applyBorder="1" applyAlignment="1">
      <alignment horizontal="left" vertical="center"/>
    </xf>
    <xf numFmtId="0" fontId="4" fillId="50" borderId="66" xfId="0" applyFont="1" applyFill="1" applyBorder="1" applyAlignment="1">
      <alignment horizontal="left" vertical="center"/>
    </xf>
    <xf numFmtId="0" fontId="10" fillId="0" borderId="7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71" xfId="0" applyFont="1" applyBorder="1" applyAlignment="1">
      <alignment horizontal="left" vertical="center" wrapText="1"/>
    </xf>
    <xf numFmtId="0" fontId="11" fillId="0" borderId="7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00" fillId="10" borderId="3" xfId="0" applyFont="1" applyFill="1" applyBorder="1" applyAlignment="1">
      <alignment horizontal="center" vertical="center" wrapText="1"/>
    </xf>
    <xf numFmtId="0" fontId="100" fillId="10" borderId="107" xfId="0" applyFont="1" applyFill="1" applyBorder="1" applyAlignment="1">
      <alignment horizontal="center" vertical="center" wrapText="1"/>
    </xf>
    <xf numFmtId="0" fontId="101" fillId="10" borderId="108" xfId="0" applyFont="1" applyFill="1" applyBorder="1"/>
    <xf numFmtId="0" fontId="100" fillId="10" borderId="21" xfId="0" applyFont="1" applyFill="1" applyBorder="1" applyAlignment="1">
      <alignment horizontal="center" vertical="center" wrapText="1"/>
    </xf>
    <xf numFmtId="0" fontId="100" fillId="10" borderId="109" xfId="0" applyFont="1" applyFill="1" applyBorder="1" applyAlignment="1">
      <alignment horizontal="center" vertical="center" wrapText="1"/>
    </xf>
    <xf numFmtId="0" fontId="101" fillId="10" borderId="110" xfId="0" applyFont="1" applyFill="1" applyBorder="1"/>
    <xf numFmtId="0" fontId="101" fillId="10" borderId="111" xfId="0" applyFont="1" applyFill="1" applyBorder="1"/>
    <xf numFmtId="0" fontId="102" fillId="0" borderId="0" xfId="0" applyFont="1" applyFill="1" applyBorder="1" applyAlignment="1">
      <alignment horizontal="left" vertical="center" wrapText="1"/>
    </xf>
    <xf numFmtId="0" fontId="103" fillId="0" borderId="0" xfId="0" applyFont="1" applyFill="1" applyBorder="1" applyAlignment="1">
      <alignment horizontal="left" vertical="center"/>
    </xf>
    <xf numFmtId="0" fontId="100" fillId="10" borderId="116" xfId="0" applyFont="1" applyFill="1" applyBorder="1" applyAlignment="1">
      <alignment horizontal="center" vertical="center" wrapText="1"/>
    </xf>
    <xf numFmtId="0" fontId="101" fillId="10" borderId="117" xfId="0" applyFont="1" applyFill="1" applyBorder="1"/>
    <xf numFmtId="0" fontId="100" fillId="10" borderId="115" xfId="0" applyFont="1" applyFill="1" applyBorder="1" applyAlignment="1">
      <alignment horizontal="center" vertical="center" wrapText="1"/>
    </xf>
    <xf numFmtId="0" fontId="100" fillId="10" borderId="115" xfId="0" applyFont="1" applyFill="1" applyBorder="1" applyAlignment="1">
      <alignment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2" fillId="16" borderId="2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69" fillId="16" borderId="120" xfId="0" applyFont="1" applyFill="1" applyBorder="1" applyAlignment="1">
      <alignment horizontal="center"/>
    </xf>
    <xf numFmtId="0" fontId="69" fillId="16" borderId="37" xfId="0" applyFont="1" applyFill="1" applyBorder="1" applyAlignment="1">
      <alignment horizontal="center"/>
    </xf>
    <xf numFmtId="0" fontId="69" fillId="16" borderId="40" xfId="0" applyFont="1" applyFill="1" applyBorder="1" applyAlignment="1">
      <alignment horizontal="center"/>
    </xf>
    <xf numFmtId="0" fontId="69" fillId="52" borderId="11" xfId="0" applyFont="1" applyFill="1" applyBorder="1" applyAlignment="1">
      <alignment horizontal="center"/>
    </xf>
    <xf numFmtId="0" fontId="69" fillId="52" borderId="35" xfId="0" applyFont="1" applyFill="1" applyBorder="1" applyAlignment="1">
      <alignment horizontal="center"/>
    </xf>
    <xf numFmtId="0" fontId="69" fillId="16" borderId="42" xfId="0" applyFont="1" applyFill="1" applyBorder="1" applyAlignment="1">
      <alignment horizontal="center"/>
    </xf>
    <xf numFmtId="0" fontId="69" fillId="16" borderId="0" xfId="0" applyFont="1" applyFill="1" applyBorder="1" applyAlignment="1">
      <alignment horizontal="center"/>
    </xf>
    <xf numFmtId="0" fontId="69" fillId="16" borderId="41" xfId="0" applyFont="1" applyFill="1" applyBorder="1" applyAlignment="1">
      <alignment horizontal="center"/>
    </xf>
    <xf numFmtId="0" fontId="69" fillId="52" borderId="11" xfId="0" applyFont="1" applyFill="1" applyBorder="1" applyAlignment="1">
      <alignment horizontal="left"/>
    </xf>
    <xf numFmtId="0" fontId="69" fillId="52" borderId="35" xfId="0" applyFont="1" applyFill="1" applyBorder="1" applyAlignment="1">
      <alignment horizontal="left"/>
    </xf>
    <xf numFmtId="0" fontId="69" fillId="16" borderId="121" xfId="0" applyFont="1" applyFill="1" applyBorder="1" applyAlignment="1">
      <alignment horizontal="center" wrapText="1"/>
    </xf>
    <xf numFmtId="0" fontId="69" fillId="16" borderId="35" xfId="0" applyFont="1" applyFill="1" applyBorder="1" applyAlignment="1">
      <alignment horizontal="center" wrapText="1"/>
    </xf>
    <xf numFmtId="0" fontId="69" fillId="16" borderId="38" xfId="0" applyFont="1" applyFill="1" applyBorder="1" applyAlignment="1">
      <alignment horizontal="center" wrapText="1"/>
    </xf>
    <xf numFmtId="0" fontId="55" fillId="0" borderId="19" xfId="0" applyFont="1" applyBorder="1" applyAlignment="1">
      <alignment horizontal="center" vertical="center" wrapText="1"/>
    </xf>
    <xf numFmtId="0" fontId="55" fillId="0" borderId="34" xfId="0" applyFont="1" applyBorder="1" applyAlignment="1">
      <alignment horizontal="center" vertical="center" wrapText="1"/>
    </xf>
    <xf numFmtId="0" fontId="56" fillId="0" borderId="19" xfId="0" applyFont="1" applyBorder="1" applyAlignment="1">
      <alignment horizontal="center" vertical="center" wrapText="1"/>
    </xf>
    <xf numFmtId="0" fontId="56" fillId="0" borderId="34" xfId="0" applyFont="1" applyBorder="1" applyAlignment="1">
      <alignment horizontal="center" vertical="center" wrapText="1"/>
    </xf>
    <xf numFmtId="0" fontId="0" fillId="16" borderId="23" xfId="0" applyFill="1" applyBorder="1" applyAlignment="1">
      <alignment horizontal="left"/>
    </xf>
    <xf numFmtId="0" fontId="0" fillId="16" borderId="7" xfId="0" applyFill="1" applyBorder="1" applyAlignment="1">
      <alignment horizontal="left"/>
    </xf>
    <xf numFmtId="0" fontId="55" fillId="0" borderId="120" xfId="0" applyFont="1" applyBorder="1" applyAlignment="1">
      <alignment horizontal="center" vertical="center" wrapText="1"/>
    </xf>
    <xf numFmtId="0" fontId="55" fillId="0" borderId="121" xfId="0" applyFont="1" applyBorder="1" applyAlignment="1">
      <alignment horizontal="center" vertical="center" wrapText="1"/>
    </xf>
    <xf numFmtId="0" fontId="57" fillId="0" borderId="19" xfId="0" applyFont="1" applyBorder="1" applyAlignment="1">
      <alignment horizontal="center" vertical="center" wrapText="1"/>
    </xf>
    <xf numFmtId="0" fontId="57" fillId="0" borderId="21" xfId="0" applyFont="1" applyBorder="1" applyAlignment="1">
      <alignment horizontal="center" vertical="center" wrapText="1"/>
    </xf>
    <xf numFmtId="0" fontId="105" fillId="53" borderId="36" xfId="0" applyFont="1" applyFill="1" applyBorder="1" applyAlignment="1">
      <alignment horizontal="center" vertical="center" wrapText="1"/>
    </xf>
    <xf numFmtId="0" fontId="105" fillId="53" borderId="37" xfId="0" applyFont="1" applyFill="1" applyBorder="1" applyAlignment="1">
      <alignment horizontal="center" vertical="center" wrapText="1"/>
    </xf>
    <xf numFmtId="0" fontId="105" fillId="53" borderId="39" xfId="0" applyFont="1" applyFill="1" applyBorder="1" applyAlignment="1">
      <alignment horizontal="center" vertical="center" wrapText="1"/>
    </xf>
    <xf numFmtId="0" fontId="105" fillId="53" borderId="0" xfId="0" applyFont="1" applyFill="1" applyBorder="1" applyAlignment="1">
      <alignment horizontal="center" vertical="center" wrapText="1"/>
    </xf>
    <xf numFmtId="0" fontId="81" fillId="53" borderId="37" xfId="0" applyFont="1" applyFill="1" applyBorder="1" applyAlignment="1">
      <alignment horizontal="center" vertical="center" wrapText="1"/>
    </xf>
    <xf numFmtId="0" fontId="81" fillId="53" borderId="0" xfId="0" applyFont="1" applyFill="1" applyBorder="1" applyAlignment="1">
      <alignment horizontal="center" vertical="center" wrapText="1"/>
    </xf>
    <xf numFmtId="0" fontId="105" fillId="53" borderId="11" xfId="0" applyFont="1" applyFill="1" applyBorder="1" applyAlignment="1">
      <alignment horizontal="center" vertical="center" wrapText="1"/>
    </xf>
    <xf numFmtId="0" fontId="105" fillId="53" borderId="35" xfId="0" applyFont="1" applyFill="1" applyBorder="1" applyAlignment="1">
      <alignment horizontal="center" vertical="center" wrapText="1"/>
    </xf>
    <xf numFmtId="0" fontId="81" fillId="53" borderId="14" xfId="0" applyFont="1" applyFill="1" applyBorder="1" applyAlignment="1">
      <alignment horizontal="center" vertical="center" wrapText="1"/>
    </xf>
    <xf numFmtId="0" fontId="81" fillId="17" borderId="19" xfId="0" applyFont="1" applyFill="1" applyBorder="1" applyAlignment="1">
      <alignment horizontal="left" vertical="center" wrapText="1"/>
    </xf>
    <xf numFmtId="0" fontId="81" fillId="17" borderId="21" xfId="0" applyFont="1" applyFill="1" applyBorder="1" applyAlignment="1">
      <alignment horizontal="left" vertical="center" wrapText="1"/>
    </xf>
    <xf numFmtId="0" fontId="81" fillId="17" borderId="19" xfId="0" applyFont="1" applyFill="1" applyBorder="1" applyAlignment="1">
      <alignment horizontal="center" vertical="center" wrapText="1"/>
    </xf>
    <xf numFmtId="0" fontId="81" fillId="17" borderId="21" xfId="0" applyFont="1" applyFill="1" applyBorder="1" applyAlignment="1">
      <alignment horizontal="center" vertical="center" wrapText="1"/>
    </xf>
    <xf numFmtId="0" fontId="81" fillId="17" borderId="20" xfId="0" applyFont="1" applyFill="1" applyBorder="1" applyAlignment="1">
      <alignment horizontal="center" vertical="center" wrapText="1"/>
    </xf>
    <xf numFmtId="0" fontId="81" fillId="3" borderId="0" xfId="0" applyFont="1" applyFill="1" applyAlignment="1">
      <alignment horizontal="left" vertical="center" wrapText="1"/>
    </xf>
    <xf numFmtId="0" fontId="81" fillId="17" borderId="3" xfId="0" applyFont="1" applyFill="1" applyBorder="1" applyAlignment="1">
      <alignment horizontal="center" vertical="top" wrapText="1"/>
    </xf>
    <xf numFmtId="0" fontId="48" fillId="12" borderId="1" xfId="0" applyFont="1" applyFill="1" applyBorder="1" applyAlignment="1">
      <alignment horizontal="center" vertical="center" wrapText="1"/>
    </xf>
    <xf numFmtId="0" fontId="48" fillId="12" borderId="23" xfId="0" applyFont="1" applyFill="1" applyBorder="1" applyAlignment="1">
      <alignment horizontal="center" vertical="center" wrapText="1"/>
    </xf>
    <xf numFmtId="0" fontId="48" fillId="12" borderId="2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left" vertical="center" wrapText="1"/>
    </xf>
    <xf numFmtId="0" fontId="48" fillId="3" borderId="0" xfId="0" applyFont="1" applyFill="1" applyAlignment="1">
      <alignment horizontal="left" vertical="center" wrapText="1"/>
    </xf>
    <xf numFmtId="0" fontId="35" fillId="0" borderId="3" xfId="3" applyFont="1" applyBorder="1" applyAlignment="1">
      <alignment horizontal="center"/>
    </xf>
    <xf numFmtId="0" fontId="103" fillId="56" borderId="115" xfId="3" applyFont="1" applyFill="1" applyBorder="1" applyAlignment="1">
      <alignment horizontal="left" vertical="center" wrapText="1"/>
    </xf>
    <xf numFmtId="0" fontId="103" fillId="56" borderId="117" xfId="3" applyFont="1" applyFill="1" applyBorder="1" applyAlignment="1">
      <alignment horizontal="left" vertical="center" wrapText="1"/>
    </xf>
    <xf numFmtId="0" fontId="109" fillId="0" borderId="3" xfId="3" applyFont="1" applyBorder="1" applyAlignment="1">
      <alignment vertical="top"/>
    </xf>
    <xf numFmtId="0" fontId="109" fillId="0" borderId="3" xfId="3" applyFont="1" applyBorder="1" applyAlignment="1">
      <alignment horizontal="left"/>
    </xf>
    <xf numFmtId="0" fontId="109" fillId="0" borderId="3" xfId="3" applyFont="1" applyBorder="1" applyAlignment="1">
      <alignment horizontal="center"/>
    </xf>
    <xf numFmtId="0" fontId="35" fillId="0" borderId="3" xfId="3" applyFont="1" applyBorder="1" applyAlignment="1">
      <alignment horizontal="center" wrapText="1"/>
    </xf>
    <xf numFmtId="0" fontId="31" fillId="55" borderId="112" xfId="3" applyFont="1" applyFill="1" applyBorder="1" applyAlignment="1">
      <alignment horizontal="left" vertical="center" wrapText="1"/>
    </xf>
    <xf numFmtId="0" fontId="31" fillId="55" borderId="113" xfId="3" applyFont="1" applyFill="1" applyBorder="1" applyAlignment="1">
      <alignment horizontal="left" vertical="center" wrapText="1"/>
    </xf>
    <xf numFmtId="0" fontId="31" fillId="55" borderId="107" xfId="3" applyFont="1" applyFill="1" applyBorder="1" applyAlignment="1">
      <alignment horizontal="left" vertical="center" wrapText="1"/>
    </xf>
    <xf numFmtId="0" fontId="31" fillId="55" borderId="124" xfId="3" applyFont="1" applyFill="1" applyBorder="1" applyAlignment="1">
      <alignment horizontal="left" vertical="center" wrapText="1"/>
    </xf>
    <xf numFmtId="0" fontId="108" fillId="0" borderId="3" xfId="3" applyFont="1" applyBorder="1" applyAlignment="1">
      <alignment horizontal="center"/>
    </xf>
    <xf numFmtId="0" fontId="31" fillId="55" borderId="109" xfId="3" applyFont="1" applyFill="1" applyBorder="1" applyAlignment="1">
      <alignment horizontal="center" vertical="center" wrapText="1"/>
    </xf>
    <xf numFmtId="0" fontId="31" fillId="55" borderId="111" xfId="3" applyFont="1" applyFill="1" applyBorder="1" applyAlignment="1">
      <alignment horizontal="center" vertical="center" wrapText="1"/>
    </xf>
    <xf numFmtId="0" fontId="31" fillId="55" borderId="110" xfId="3" applyFont="1" applyFill="1" applyBorder="1" applyAlignment="1">
      <alignment horizontal="center" vertical="center" wrapText="1"/>
    </xf>
    <xf numFmtId="0" fontId="31" fillId="55" borderId="112" xfId="3" applyFont="1" applyFill="1" applyBorder="1" applyAlignment="1">
      <alignment horizontal="center" vertical="top"/>
    </xf>
    <xf numFmtId="0" fontId="31" fillId="55" borderId="114" xfId="3" applyFont="1" applyFill="1" applyBorder="1" applyAlignment="1">
      <alignment horizontal="center" vertical="top"/>
    </xf>
    <xf numFmtId="0" fontId="31" fillId="55" borderId="113" xfId="3" applyFont="1" applyFill="1" applyBorder="1" applyAlignment="1">
      <alignment horizontal="center" vertical="top"/>
    </xf>
    <xf numFmtId="0" fontId="31" fillId="55" borderId="123" xfId="3" applyFont="1" applyFill="1" applyBorder="1" applyAlignment="1">
      <alignment horizontal="center" vertical="center" wrapText="1"/>
    </xf>
    <xf numFmtId="0" fontId="31" fillId="55" borderId="0" xfId="3" applyFont="1" applyFill="1" applyBorder="1" applyAlignment="1">
      <alignment horizontal="center" vertical="center" wrapText="1"/>
    </xf>
    <xf numFmtId="0" fontId="31" fillId="55" borderId="125" xfId="3" applyFont="1" applyFill="1" applyBorder="1" applyAlignment="1">
      <alignment horizontal="center" vertical="center" wrapText="1"/>
    </xf>
    <xf numFmtId="0" fontId="31" fillId="55" borderId="107" xfId="3" applyFont="1" applyFill="1" applyBorder="1" applyAlignment="1">
      <alignment wrapText="1"/>
    </xf>
    <xf numFmtId="0" fontId="31" fillId="55" borderId="108" xfId="3" applyFont="1" applyFill="1" applyBorder="1" applyAlignment="1">
      <alignment wrapText="1"/>
    </xf>
    <xf numFmtId="0" fontId="31" fillId="55" borderId="124" xfId="3" applyFont="1" applyFill="1" applyBorder="1" applyAlignment="1">
      <alignment wrapText="1"/>
    </xf>
    <xf numFmtId="0" fontId="31" fillId="55" borderId="115" xfId="3" applyFont="1" applyFill="1" applyBorder="1" applyAlignment="1">
      <alignment horizontal="left" vertical="center" wrapText="1"/>
    </xf>
    <xf numFmtId="0" fontId="31" fillId="55" borderId="117" xfId="3" applyFont="1" applyFill="1" applyBorder="1" applyAlignment="1">
      <alignment horizontal="left" vertical="center" wrapText="1"/>
    </xf>
    <xf numFmtId="0" fontId="103" fillId="56" borderId="115" xfId="3" applyFont="1" applyFill="1" applyBorder="1" applyAlignment="1">
      <alignment horizontal="center" vertical="center" wrapText="1"/>
    </xf>
    <xf numFmtId="0" fontId="103" fillId="56" borderId="116" xfId="3" applyFont="1" applyFill="1" applyBorder="1" applyAlignment="1">
      <alignment horizontal="center" vertical="center" wrapText="1"/>
    </xf>
    <xf numFmtId="0" fontId="66" fillId="0" borderId="8" xfId="0" applyFont="1" applyFill="1" applyBorder="1" applyAlignment="1">
      <alignment horizontal="left"/>
    </xf>
    <xf numFmtId="0" fontId="66" fillId="0" borderId="35" xfId="0" applyFont="1" applyFill="1" applyBorder="1" applyAlignment="1">
      <alignment horizontal="left"/>
    </xf>
    <xf numFmtId="0" fontId="66" fillId="0" borderId="9" xfId="0" applyFont="1" applyFill="1" applyBorder="1" applyAlignment="1">
      <alignment horizontal="left"/>
    </xf>
    <xf numFmtId="0" fontId="66" fillId="0" borderId="10" xfId="0" applyFont="1" applyFill="1" applyBorder="1" applyAlignment="1">
      <alignment horizontal="left"/>
    </xf>
    <xf numFmtId="0" fontId="64" fillId="32" borderId="56" xfId="0" applyFont="1" applyFill="1" applyBorder="1" applyAlignment="1">
      <alignment horizontal="center" vertical="center" wrapText="1"/>
    </xf>
    <xf numFmtId="0" fontId="62" fillId="3" borderId="56" xfId="0" applyFont="1" applyFill="1" applyBorder="1" applyAlignment="1">
      <alignment horizontal="center"/>
    </xf>
    <xf numFmtId="0" fontId="62" fillId="3" borderId="3" xfId="0" applyFont="1" applyFill="1" applyBorder="1" applyAlignment="1">
      <alignment horizontal="center"/>
    </xf>
    <xf numFmtId="0" fontId="62" fillId="3" borderId="20" xfId="0" applyFont="1" applyFill="1" applyBorder="1" applyAlignment="1">
      <alignment horizontal="center"/>
    </xf>
    <xf numFmtId="0" fontId="62" fillId="3" borderId="24" xfId="0" applyFont="1" applyFill="1" applyBorder="1" applyAlignment="1">
      <alignment horizontal="center"/>
    </xf>
    <xf numFmtId="0" fontId="64" fillId="32" borderId="120" xfId="0" applyFont="1" applyFill="1" applyBorder="1" applyAlignment="1">
      <alignment horizontal="center" vertical="center" wrapText="1"/>
    </xf>
    <xf numFmtId="0" fontId="64" fillId="32" borderId="13" xfId="0" applyFont="1" applyFill="1" applyBorder="1" applyAlignment="1">
      <alignment horizontal="center" vertical="center" wrapText="1"/>
    </xf>
    <xf numFmtId="0" fontId="64" fillId="32" borderId="19" xfId="0" applyFont="1" applyFill="1" applyBorder="1" applyAlignment="1">
      <alignment horizontal="center" vertical="center" wrapText="1"/>
    </xf>
    <xf numFmtId="0" fontId="64" fillId="32" borderId="21" xfId="0" applyFont="1" applyFill="1" applyBorder="1" applyAlignment="1">
      <alignment horizontal="center" vertical="center" wrapText="1"/>
    </xf>
    <xf numFmtId="0" fontId="64" fillId="32" borderId="20" xfId="0" applyFont="1" applyFill="1" applyBorder="1" applyAlignment="1">
      <alignment horizontal="left" vertical="top" wrapText="1"/>
    </xf>
    <xf numFmtId="0" fontId="64" fillId="32" borderId="21" xfId="0" applyFont="1" applyFill="1" applyBorder="1" applyAlignment="1">
      <alignment horizontal="left" vertical="top" wrapText="1"/>
    </xf>
    <xf numFmtId="0" fontId="64" fillId="32" borderId="31" xfId="0" applyFont="1" applyFill="1" applyBorder="1" applyAlignment="1">
      <alignment horizontal="center" vertical="center"/>
    </xf>
    <xf numFmtId="0" fontId="64" fillId="32" borderId="3" xfId="0" applyFont="1" applyFill="1" applyBorder="1" applyAlignment="1">
      <alignment horizontal="center" vertical="center"/>
    </xf>
    <xf numFmtId="0" fontId="64" fillId="3" borderId="122" xfId="0" applyFont="1" applyFill="1" applyBorder="1" applyAlignment="1">
      <alignment horizontal="center" vertical="center"/>
    </xf>
    <xf numFmtId="0" fontId="64" fillId="3" borderId="67" xfId="0" applyFont="1" applyFill="1" applyBorder="1" applyAlignment="1">
      <alignment horizontal="center" vertical="center"/>
    </xf>
    <xf numFmtId="0" fontId="64" fillId="32" borderId="19" xfId="0" applyFont="1" applyFill="1" applyBorder="1" applyAlignment="1">
      <alignment horizontal="center" vertical="center"/>
    </xf>
    <xf numFmtId="0" fontId="64" fillId="32" borderId="21" xfId="0" applyFont="1" applyFill="1" applyBorder="1" applyAlignment="1">
      <alignment horizontal="center" vertical="center"/>
    </xf>
    <xf numFmtId="0" fontId="62" fillId="3" borderId="25" xfId="0" applyFont="1" applyFill="1" applyBorder="1" applyAlignment="1">
      <alignment horizontal="center"/>
    </xf>
    <xf numFmtId="0" fontId="62" fillId="3" borderId="26" xfId="0" applyFont="1" applyFill="1" applyBorder="1" applyAlignment="1">
      <alignment horizontal="center"/>
    </xf>
    <xf numFmtId="0" fontId="62" fillId="3" borderId="27" xfId="0" applyFont="1" applyFill="1" applyBorder="1" applyAlignment="1">
      <alignment horizontal="center"/>
    </xf>
    <xf numFmtId="0" fontId="64" fillId="32" borderId="16" xfId="0" applyFont="1" applyFill="1" applyBorder="1" applyAlignment="1">
      <alignment horizontal="center"/>
    </xf>
    <xf numFmtId="0" fontId="64" fillId="32" borderId="17" xfId="0" applyFont="1" applyFill="1" applyBorder="1" applyAlignment="1">
      <alignment horizontal="center"/>
    </xf>
    <xf numFmtId="0" fontId="64" fillId="32" borderId="18" xfId="0" applyFont="1" applyFill="1" applyBorder="1" applyAlignment="1">
      <alignment horizontal="center"/>
    </xf>
    <xf numFmtId="0" fontId="64" fillId="32" borderId="53" xfId="0" applyFont="1" applyFill="1" applyBorder="1" applyAlignment="1">
      <alignment horizontal="center"/>
    </xf>
    <xf numFmtId="0" fontId="64" fillId="32" borderId="23" xfId="0" applyFont="1" applyFill="1" applyBorder="1" applyAlignment="1">
      <alignment horizontal="center"/>
    </xf>
    <xf numFmtId="0" fontId="64" fillId="32" borderId="66" xfId="0" applyFont="1" applyFill="1" applyBorder="1" applyAlignment="1">
      <alignment horizontal="center"/>
    </xf>
    <xf numFmtId="0" fontId="64" fillId="32" borderId="39" xfId="0" applyFont="1" applyFill="1" applyBorder="1" applyAlignment="1">
      <alignment horizontal="left"/>
    </xf>
    <xf numFmtId="0" fontId="64" fillId="32" borderId="0" xfId="0" applyFont="1" applyFill="1" applyBorder="1" applyAlignment="1">
      <alignment horizontal="left"/>
    </xf>
    <xf numFmtId="0" fontId="64" fillId="32" borderId="53" xfId="0" applyFont="1" applyFill="1" applyBorder="1" applyAlignment="1">
      <alignment horizontal="center" wrapText="1"/>
    </xf>
    <xf numFmtId="0" fontId="64" fillId="32" borderId="23" xfId="0" applyFont="1" applyFill="1" applyBorder="1" applyAlignment="1">
      <alignment horizontal="center" wrapText="1"/>
    </xf>
    <xf numFmtId="0" fontId="64" fillId="32" borderId="66" xfId="0" applyFont="1" applyFill="1" applyBorder="1" applyAlignment="1">
      <alignment horizontal="center" wrapText="1"/>
    </xf>
    <xf numFmtId="0" fontId="39" fillId="0" borderId="0" xfId="0" applyFont="1" applyAlignment="1">
      <alignment horizontal="left"/>
    </xf>
    <xf numFmtId="0" fontId="64" fillId="0" borderId="53" xfId="0" applyFont="1" applyFill="1" applyBorder="1" applyAlignment="1">
      <alignment horizontal="center" vertical="center"/>
    </xf>
    <xf numFmtId="0" fontId="64" fillId="0" borderId="23" xfId="0" applyFont="1" applyFill="1" applyBorder="1" applyAlignment="1">
      <alignment horizontal="center" vertical="center"/>
    </xf>
    <xf numFmtId="0" fontId="64" fillId="0" borderId="7" xfId="0" applyFont="1" applyFill="1" applyBorder="1" applyAlignment="1">
      <alignment horizontal="center" vertical="center"/>
    </xf>
    <xf numFmtId="0" fontId="64" fillId="0" borderId="66" xfId="0" applyFont="1" applyFill="1" applyBorder="1" applyAlignment="1">
      <alignment horizontal="center" vertical="center"/>
    </xf>
    <xf numFmtId="0" fontId="64" fillId="0" borderId="25" xfId="0" applyFont="1" applyBorder="1" applyAlignment="1">
      <alignment horizontal="center" vertical="center" wrapText="1"/>
    </xf>
    <xf numFmtId="0" fontId="63" fillId="0" borderId="26" xfId="0" applyFont="1" applyBorder="1" applyAlignment="1">
      <alignment horizontal="center" vertical="center" wrapText="1"/>
    </xf>
    <xf numFmtId="0" fontId="63" fillId="0" borderId="27" xfId="0" applyFont="1" applyBorder="1" applyAlignment="1">
      <alignment horizontal="center" vertical="center" wrapText="1"/>
    </xf>
    <xf numFmtId="0" fontId="65" fillId="0" borderId="56" xfId="0" applyFont="1" applyFill="1" applyBorder="1" applyAlignment="1">
      <alignment horizontal="center" vertical="center"/>
    </xf>
    <xf numFmtId="0" fontId="65" fillId="0" borderId="3" xfId="0" applyFont="1" applyFill="1" applyBorder="1" applyAlignment="1">
      <alignment horizontal="center" vertical="center"/>
    </xf>
    <xf numFmtId="0" fontId="65" fillId="0" borderId="21" xfId="0" applyFont="1" applyFill="1" applyBorder="1" applyAlignment="1">
      <alignment horizontal="center" vertical="center"/>
    </xf>
    <xf numFmtId="0" fontId="65" fillId="0" borderId="98" xfId="0" applyFont="1" applyFill="1" applyBorder="1" applyAlignment="1">
      <alignment horizontal="center" vertical="center"/>
    </xf>
    <xf numFmtId="0" fontId="64" fillId="0" borderId="53" xfId="0" applyFont="1" applyFill="1" applyBorder="1" applyAlignment="1">
      <alignment horizontal="center" vertical="center" wrapText="1"/>
    </xf>
    <xf numFmtId="0" fontId="64" fillId="0" borderId="23" xfId="0" applyFont="1" applyFill="1" applyBorder="1" applyAlignment="1">
      <alignment horizontal="center" vertical="center" wrapText="1"/>
    </xf>
    <xf numFmtId="0" fontId="64" fillId="0" borderId="14" xfId="0" applyFont="1" applyFill="1" applyBorder="1" applyAlignment="1">
      <alignment horizontal="center" vertical="center" wrapText="1"/>
    </xf>
    <xf numFmtId="0" fontId="64" fillId="0" borderId="126" xfId="0" applyFont="1" applyFill="1" applyBorder="1" applyAlignment="1">
      <alignment horizontal="center" vertical="center" wrapText="1"/>
    </xf>
    <xf numFmtId="14" fontId="64" fillId="0" borderId="53" xfId="0" applyNumberFormat="1" applyFont="1" applyFill="1" applyBorder="1" applyAlignment="1">
      <alignment horizontal="center" vertical="center"/>
    </xf>
    <xf numFmtId="14" fontId="64" fillId="0" borderId="23" xfId="0" applyNumberFormat="1" applyFont="1" applyFill="1" applyBorder="1" applyAlignment="1">
      <alignment horizontal="center" vertical="center"/>
    </xf>
    <xf numFmtId="14" fontId="64" fillId="0" borderId="14" xfId="0" applyNumberFormat="1" applyFont="1" applyFill="1" applyBorder="1" applyAlignment="1">
      <alignment horizontal="center" vertical="center"/>
    </xf>
    <xf numFmtId="14" fontId="64" fillId="0" borderId="66" xfId="0" applyNumberFormat="1" applyFont="1" applyFill="1" applyBorder="1" applyAlignment="1">
      <alignment horizontal="center" vertical="center"/>
    </xf>
    <xf numFmtId="0" fontId="64" fillId="0" borderId="36" xfId="0" applyFont="1" applyBorder="1" applyAlignment="1">
      <alignment horizontal="center" vertical="center" wrapText="1"/>
    </xf>
    <xf numFmtId="0" fontId="63" fillId="0" borderId="37" xfId="0" applyFont="1" applyBorder="1" applyAlignment="1">
      <alignment horizontal="center" vertical="center" wrapText="1"/>
    </xf>
    <xf numFmtId="0" fontId="65" fillId="0" borderId="20" xfId="0" applyFont="1" applyFill="1" applyBorder="1" applyAlignment="1">
      <alignment horizontal="center" vertical="center"/>
    </xf>
    <xf numFmtId="0" fontId="65" fillId="0" borderId="24" xfId="0" applyFont="1" applyFill="1" applyBorder="1" applyAlignment="1">
      <alignment horizontal="center" vertical="center"/>
    </xf>
    <xf numFmtId="0" fontId="64" fillId="0" borderId="14" xfId="0" applyFont="1" applyFill="1" applyBorder="1" applyAlignment="1">
      <alignment horizontal="center" vertical="center"/>
    </xf>
    <xf numFmtId="14" fontId="64" fillId="0" borderId="68" xfId="0" applyNumberFormat="1" applyFont="1" applyFill="1" applyBorder="1" applyAlignment="1">
      <alignment horizontal="center" vertical="center"/>
    </xf>
    <xf numFmtId="14" fontId="64" fillId="0" borderId="0" xfId="0" applyNumberFormat="1" applyFont="1" applyFill="1" applyBorder="1" applyAlignment="1">
      <alignment horizontal="center" vertical="center"/>
    </xf>
    <xf numFmtId="14" fontId="64" fillId="0" borderId="126" xfId="0" applyNumberFormat="1" applyFont="1" applyFill="1" applyBorder="1" applyAlignment="1">
      <alignment horizontal="center" vertical="center"/>
    </xf>
    <xf numFmtId="0" fontId="65" fillId="0" borderId="25" xfId="0" applyFont="1" applyFill="1" applyBorder="1" applyAlignment="1">
      <alignment horizontal="center" vertical="center" wrapText="1"/>
    </xf>
    <xf numFmtId="0" fontId="62" fillId="0" borderId="26" xfId="0" applyFont="1" applyFill="1" applyBorder="1" applyAlignment="1">
      <alignment horizontal="center" vertical="center" wrapText="1"/>
    </xf>
    <xf numFmtId="0" fontId="62" fillId="0" borderId="27" xfId="0" applyFont="1" applyFill="1" applyBorder="1" applyAlignment="1">
      <alignment horizontal="center" vertical="center" wrapText="1"/>
    </xf>
    <xf numFmtId="0" fontId="25" fillId="12" borderId="1" xfId="4" applyFont="1" applyFill="1" applyBorder="1" applyAlignment="1">
      <alignment horizontal="center" vertical="center"/>
    </xf>
    <xf numFmtId="0" fontId="25" fillId="12" borderId="23" xfId="4" applyFont="1" applyFill="1" applyBorder="1" applyAlignment="1">
      <alignment horizontal="center" vertical="center"/>
    </xf>
    <xf numFmtId="0" fontId="25" fillId="12" borderId="2" xfId="4" applyFont="1" applyFill="1" applyBorder="1" applyAlignment="1">
      <alignment horizontal="center" vertical="center"/>
    </xf>
    <xf numFmtId="0" fontId="48" fillId="3" borderId="0" xfId="4" applyFont="1" applyFill="1" applyAlignment="1">
      <alignment horizontal="left" vertical="center"/>
    </xf>
    <xf numFmtId="0" fontId="47" fillId="60" borderId="1" xfId="4" applyFont="1" applyFill="1" applyBorder="1" applyAlignment="1">
      <alignment horizontal="center" vertical="center"/>
    </xf>
    <xf numFmtId="0" fontId="47" fillId="60" borderId="23" xfId="4" applyFont="1" applyFill="1" applyBorder="1" applyAlignment="1">
      <alignment horizontal="center" vertical="center"/>
    </xf>
    <xf numFmtId="0" fontId="47" fillId="60" borderId="2" xfId="4" applyFont="1" applyFill="1" applyBorder="1" applyAlignment="1">
      <alignment horizontal="center" vertical="center"/>
    </xf>
    <xf numFmtId="0" fontId="47" fillId="41" borderId="1" xfId="4" applyFont="1" applyFill="1" applyBorder="1" applyAlignment="1">
      <alignment horizontal="center" vertical="center"/>
    </xf>
    <xf numFmtId="0" fontId="47" fillId="41" borderId="2" xfId="4" applyFont="1" applyFill="1" applyBorder="1" applyAlignment="1">
      <alignment horizontal="center" vertical="center"/>
    </xf>
    <xf numFmtId="0" fontId="113" fillId="60" borderId="1" xfId="4" applyFont="1" applyFill="1" applyBorder="1" applyAlignment="1">
      <alignment horizontal="center" vertical="center"/>
    </xf>
    <xf numFmtId="0" fontId="113" fillId="60" borderId="23" xfId="4" applyFont="1" applyFill="1" applyBorder="1" applyAlignment="1">
      <alignment horizontal="center" vertical="center"/>
    </xf>
    <xf numFmtId="0" fontId="113" fillId="60" borderId="2" xfId="4" applyFont="1" applyFill="1" applyBorder="1" applyAlignment="1">
      <alignment horizontal="center" vertical="center"/>
    </xf>
    <xf numFmtId="0" fontId="110" fillId="3" borderId="20" xfId="4" applyFont="1" applyFill="1" applyBorder="1" applyAlignment="1">
      <alignment horizontal="center" vertical="center"/>
    </xf>
    <xf numFmtId="0" fontId="110" fillId="3" borderId="21" xfId="4" applyFont="1" applyFill="1" applyBorder="1" applyAlignment="1">
      <alignment horizontal="center" vertical="center"/>
    </xf>
    <xf numFmtId="0" fontId="23" fillId="3" borderId="20" xfId="4" applyFont="1" applyFill="1" applyBorder="1" applyAlignment="1">
      <alignment horizontal="center" vertical="center" wrapText="1"/>
    </xf>
    <xf numFmtId="0" fontId="23" fillId="3" borderId="21" xfId="4" applyFont="1" applyFill="1" applyBorder="1" applyAlignment="1">
      <alignment horizontal="center" vertical="center" wrapText="1"/>
    </xf>
    <xf numFmtId="0" fontId="23" fillId="3" borderId="20" xfId="4" applyFont="1" applyFill="1" applyBorder="1" applyAlignment="1">
      <alignment horizontal="center" vertical="center"/>
    </xf>
    <xf numFmtId="0" fontId="23" fillId="3" borderId="21" xfId="4" applyFont="1" applyFill="1" applyBorder="1" applyAlignment="1">
      <alignment horizontal="center" vertical="center"/>
    </xf>
  </cellXfs>
  <cellStyles count="6">
    <cellStyle name="Millares 2" xfId="5"/>
    <cellStyle name="Normal" xfId="0" builtinId="0"/>
    <cellStyle name="Normal 2" xfId="2"/>
    <cellStyle name="Normal 2 2" xfId="4"/>
    <cellStyle name="Normal 3" xfId="3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19049</xdr:rowOff>
    </xdr:from>
    <xdr:to>
      <xdr:col>34</xdr:col>
      <xdr:colOff>19050</xdr:colOff>
      <xdr:row>52</xdr:row>
      <xdr:rowOff>152400</xdr:rowOff>
    </xdr:to>
    <xdr:sp macro="" textlink="">
      <xdr:nvSpPr>
        <xdr:cNvPr id="2" name="Rectángulo redondeado 1"/>
        <xdr:cNvSpPr/>
      </xdr:nvSpPr>
      <xdr:spPr>
        <a:xfrm>
          <a:off x="590549" y="8058149"/>
          <a:ext cx="9582151" cy="299085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_tradnl" sz="1000" b="1" i="0" u="sng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CAMBIOS DE TURNO  </a:t>
          </a:r>
          <a:r>
            <a:rPr lang="es-ES_tradnl" sz="1000" b="1" i="0" u="sng" strike="noStrike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 MES AGOSTO  DE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ROXANA ZARATE SOTO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30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MARIA GIOVANNA NEGRETTY GALLEGO  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8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BETTY  GARCIA R CACERES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1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NOEMI JHENY CONDORI CORO 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6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VERONICA  FLORES   ESTRADA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5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JESSICA L.  MACHICADO  CUELLAR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REALIZARA TURNO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FIN DE SEMANA DE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8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07:30 AM A 19:30 PM</a:t>
          </a: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ESTELA YOLA QUISPE APAZA REALIZARA TURNO MAÑANA   6 HORAS    EN FECHAS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5  Y 28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07:30 AM A 13:30 PM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DILMA CARBALLO SOLIS REALIZARA TURNO TARDE  6 HORAS    EN FECHAS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10  Y 17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13:30 PM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19:30 PM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LIC. SONIA PARRAGA  ALVAREZ  REALIZARA TURNO TARDE  6 HORAS    EN FECHA</a:t>
          </a:r>
          <a:r>
            <a:rPr lang="es-ES_tradn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14 </a:t>
          </a:r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 </a:t>
          </a:r>
          <a:r>
            <a:rPr lang="es-ES_tradn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</a:t>
          </a:r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2026 DE 13:30 PM</a:t>
          </a:r>
          <a:r>
            <a:rPr lang="es-ES_tradn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19:30 PM</a:t>
          </a:r>
          <a:endParaRPr lang="es-BO" sz="800">
            <a:effectLst/>
          </a:endParaRPr>
        </a:p>
        <a:p>
          <a:pPr eaLnBrk="1" fontAlgn="auto" latinLnBrk="0" hangingPunct="1"/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LIC. ARLITA  GUZMAN FAREL    REALIZARA TURNO MAÑANA   6 HORAS    EN FECHAS </a:t>
          </a:r>
          <a:r>
            <a:rPr lang="es-ES_tradn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   </a:t>
          </a:r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 </a:t>
          </a:r>
          <a:r>
            <a:rPr lang="es-ES_tradn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</a:t>
          </a:r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ES_trad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2026 DE 07:30 AM A 13:30 PM</a:t>
          </a:r>
          <a:endParaRPr lang="es-ES_tradnl" sz="8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AUXILIAR  EVEIN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RAMIREZ VILLALBA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REALIZARA TURNO TARDE  6 HORAS    EN FECHA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5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13:30 PM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19:30 PM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AUXILIAR  ERIKA  REVOSO MAMANI REALIZARA TURNO MAÑANA   6 HORAS    EN FECHAS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5  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07:30 AM A 13:30 PM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AUXILIAR  GUILLERMO FERNANDO MENDEZ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4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AUXILIAR  ARMINA FERMIN RIVAS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9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eaLnBrk="1" fontAlgn="auto" latinLnBrk="0" hangingPunct="1"/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AUXILIAR  KARLA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XIMENA FLORES MARTINEZ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30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AUXILIAR  SINDY  SEÑA  ARANCIBIA REALIZARA TURNO NOCHE  12  HORAS    EN FECHA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26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</a:t>
          </a:r>
          <a:r>
            <a:rPr lang="es-ES_tradnl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AGOSTO </a:t>
          </a:r>
          <a:r>
            <a:rPr lang="es-ES_tradnl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2026 DE 19:30 PM A 07:30 AM</a:t>
          </a:r>
          <a:endParaRPr lang="es-BO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BO" sz="8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B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B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s-ES_tradnl" sz="8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_tradnl" sz="8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s-B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9"/>
  <sheetViews>
    <sheetView workbookViewId="0">
      <selection activeCell="F9" sqref="F9"/>
    </sheetView>
  </sheetViews>
  <sheetFormatPr baseColWidth="10" defaultColWidth="9.109375" defaultRowHeight="12" x14ac:dyDescent="0.25"/>
  <cols>
    <col min="1" max="1" width="13" style="199" customWidth="1"/>
    <col min="2" max="2" width="14" style="228" customWidth="1"/>
    <col min="3" max="3" width="13.33203125" style="228" customWidth="1"/>
    <col min="4" max="4" width="11.88671875" style="229" customWidth="1"/>
    <col min="5" max="5" width="10.6640625" style="229" customWidth="1"/>
    <col min="6" max="7" width="9.109375" style="199"/>
    <col min="8" max="8" width="11.5546875" style="199" customWidth="1"/>
    <col min="9" max="25" width="3" style="199" bestFit="1" customWidth="1"/>
    <col min="26" max="29" width="3.44140625" style="199" bestFit="1" customWidth="1"/>
    <col min="30" max="31" width="3" style="199" bestFit="1" customWidth="1"/>
    <col min="32" max="36" width="3.44140625" style="199" bestFit="1" customWidth="1"/>
    <col min="37" max="38" width="3" style="199" bestFit="1" customWidth="1"/>
    <col min="39" max="39" width="3.44140625" style="199" bestFit="1" customWidth="1"/>
    <col min="40" max="16384" width="9.109375" style="199"/>
  </cols>
  <sheetData>
    <row r="1" spans="1:40" x14ac:dyDescent="0.25">
      <c r="A1" s="959" t="s">
        <v>0</v>
      </c>
      <c r="B1" s="960"/>
      <c r="C1" s="194"/>
      <c r="D1" s="195"/>
      <c r="E1" s="195"/>
      <c r="F1" s="196"/>
      <c r="G1" s="196"/>
      <c r="H1" s="197"/>
      <c r="I1" s="198"/>
      <c r="J1" s="961" t="s">
        <v>1</v>
      </c>
      <c r="K1" s="961"/>
      <c r="L1" s="961"/>
      <c r="M1" s="961"/>
      <c r="N1" s="961"/>
      <c r="O1" s="961"/>
      <c r="P1" s="961"/>
      <c r="Q1" s="961"/>
      <c r="R1" s="961"/>
      <c r="S1" s="961"/>
      <c r="T1" s="961"/>
      <c r="U1" s="961"/>
      <c r="V1" s="961"/>
      <c r="W1" s="198"/>
      <c r="X1" s="197"/>
      <c r="Y1" s="197"/>
      <c r="Z1" s="198"/>
      <c r="AA1" s="198"/>
      <c r="AB1" s="197"/>
      <c r="AC1" s="198"/>
      <c r="AD1" s="198"/>
      <c r="AE1" s="197"/>
      <c r="AF1" s="197"/>
      <c r="AG1" s="198"/>
      <c r="AH1" s="198"/>
      <c r="AI1" s="197"/>
      <c r="AJ1" s="198"/>
      <c r="AK1" s="198"/>
      <c r="AL1" s="198"/>
      <c r="AM1" s="198"/>
      <c r="AN1" s="197"/>
    </row>
    <row r="2" spans="1:40" ht="12.6" thickBot="1" x14ac:dyDescent="0.3">
      <c r="A2" s="962" t="s">
        <v>2</v>
      </c>
      <c r="B2" s="963"/>
      <c r="C2" s="966" t="s">
        <v>3</v>
      </c>
      <c r="D2" s="967"/>
      <c r="E2" s="967"/>
      <c r="F2" s="967"/>
      <c r="G2" s="968"/>
      <c r="H2" s="196"/>
      <c r="I2" s="200"/>
      <c r="J2" s="196"/>
      <c r="K2" s="200"/>
      <c r="L2" s="200"/>
      <c r="M2" s="972" t="s">
        <v>4</v>
      </c>
      <c r="N2" s="973"/>
      <c r="O2" s="973"/>
      <c r="P2" s="973"/>
      <c r="Q2" s="974"/>
      <c r="R2" s="196"/>
      <c r="S2" s="200"/>
      <c r="T2" s="200"/>
      <c r="U2" s="196"/>
      <c r="V2" s="200"/>
      <c r="W2" s="200"/>
      <c r="X2" s="197"/>
      <c r="Y2" s="197"/>
      <c r="Z2" s="198"/>
      <c r="AA2" s="198"/>
      <c r="AB2" s="197"/>
      <c r="AC2" s="198"/>
      <c r="AD2" s="198"/>
      <c r="AE2" s="197"/>
      <c r="AF2" s="197"/>
      <c r="AG2" s="198"/>
      <c r="AH2" s="198"/>
      <c r="AI2" s="197"/>
      <c r="AJ2" s="198"/>
      <c r="AK2" s="198"/>
      <c r="AL2" s="198"/>
      <c r="AM2" s="198"/>
      <c r="AN2" s="197"/>
    </row>
    <row r="3" spans="1:40" ht="12.6" thickBot="1" x14ac:dyDescent="0.3">
      <c r="A3" s="964"/>
      <c r="B3" s="965"/>
      <c r="C3" s="969"/>
      <c r="D3" s="970"/>
      <c r="E3" s="970"/>
      <c r="F3" s="970"/>
      <c r="G3" s="971"/>
      <c r="H3" s="196"/>
      <c r="I3" s="200"/>
      <c r="J3" s="975" t="s">
        <v>5</v>
      </c>
      <c r="K3" s="976"/>
      <c r="L3" s="976"/>
      <c r="M3" s="976"/>
      <c r="N3" s="976"/>
      <c r="O3" s="976"/>
      <c r="P3" s="976"/>
      <c r="Q3" s="976"/>
      <c r="R3" s="976"/>
      <c r="S3" s="976"/>
      <c r="T3" s="976"/>
      <c r="U3" s="976"/>
      <c r="V3" s="977"/>
      <c r="W3" s="201"/>
      <c r="X3" s="202"/>
      <c r="Y3" s="202"/>
      <c r="Z3" s="203"/>
      <c r="AA3" s="203"/>
      <c r="AB3" s="202"/>
      <c r="AC3" s="203"/>
      <c r="AD3" s="203"/>
      <c r="AE3" s="202"/>
      <c r="AF3" s="202"/>
      <c r="AG3" s="203"/>
      <c r="AH3" s="203"/>
      <c r="AI3" s="202"/>
      <c r="AJ3" s="203"/>
      <c r="AK3" s="203"/>
      <c r="AL3" s="203"/>
      <c r="AM3" s="203"/>
      <c r="AN3" s="204"/>
    </row>
    <row r="4" spans="1:40" x14ac:dyDescent="0.25">
      <c r="A4" s="979" t="s">
        <v>6</v>
      </c>
      <c r="B4" s="981" t="s">
        <v>7</v>
      </c>
      <c r="C4" s="983" t="s">
        <v>8</v>
      </c>
      <c r="D4" s="984" t="s">
        <v>9</v>
      </c>
      <c r="E4" s="984" t="s">
        <v>10</v>
      </c>
      <c r="F4" s="995" t="s">
        <v>11</v>
      </c>
      <c r="G4" s="996"/>
      <c r="H4" s="986" t="s">
        <v>12</v>
      </c>
      <c r="I4" s="205">
        <v>1</v>
      </c>
      <c r="J4" s="205">
        <v>2</v>
      </c>
      <c r="K4" s="205">
        <v>3</v>
      </c>
      <c r="L4" s="205">
        <v>4</v>
      </c>
      <c r="M4" s="205">
        <v>5</v>
      </c>
      <c r="N4" s="205">
        <v>6</v>
      </c>
      <c r="O4" s="205">
        <v>7</v>
      </c>
      <c r="P4" s="206">
        <v>8</v>
      </c>
      <c r="Q4" s="205">
        <v>9</v>
      </c>
      <c r="R4" s="205">
        <v>10</v>
      </c>
      <c r="S4" s="205">
        <v>11</v>
      </c>
      <c r="T4" s="205">
        <v>12</v>
      </c>
      <c r="U4" s="205">
        <v>13</v>
      </c>
      <c r="V4" s="205">
        <v>14</v>
      </c>
      <c r="W4" s="206">
        <v>15</v>
      </c>
      <c r="X4" s="205">
        <v>16</v>
      </c>
      <c r="Y4" s="207">
        <v>17</v>
      </c>
      <c r="Z4" s="207">
        <v>18</v>
      </c>
      <c r="AA4" s="207">
        <v>19</v>
      </c>
      <c r="AB4" s="207">
        <v>20</v>
      </c>
      <c r="AC4" s="207">
        <v>21</v>
      </c>
      <c r="AD4" s="207">
        <v>22</v>
      </c>
      <c r="AE4" s="207">
        <v>23</v>
      </c>
      <c r="AF4" s="207">
        <v>24</v>
      </c>
      <c r="AG4" s="207">
        <v>25</v>
      </c>
      <c r="AH4" s="207">
        <v>26</v>
      </c>
      <c r="AI4" s="207">
        <v>27</v>
      </c>
      <c r="AJ4" s="207">
        <v>28</v>
      </c>
      <c r="AK4" s="207">
        <v>29</v>
      </c>
      <c r="AL4" s="206">
        <v>30</v>
      </c>
      <c r="AM4" s="205">
        <v>31</v>
      </c>
      <c r="AN4" s="988" t="s">
        <v>13</v>
      </c>
    </row>
    <row r="5" spans="1:40" x14ac:dyDescent="0.25">
      <c r="A5" s="980"/>
      <c r="B5" s="982"/>
      <c r="C5" s="982"/>
      <c r="D5" s="985"/>
      <c r="E5" s="985"/>
      <c r="F5" s="208" t="s">
        <v>14</v>
      </c>
      <c r="G5" s="208" t="s">
        <v>15</v>
      </c>
      <c r="H5" s="987"/>
      <c r="I5" s="209" t="s">
        <v>16</v>
      </c>
      <c r="J5" s="209" t="s">
        <v>17</v>
      </c>
      <c r="K5" s="210" t="s">
        <v>18</v>
      </c>
      <c r="L5" s="211" t="s">
        <v>19</v>
      </c>
      <c r="M5" s="211" t="s">
        <v>19</v>
      </c>
      <c r="N5" s="212" t="s">
        <v>20</v>
      </c>
      <c r="O5" s="212" t="s">
        <v>21</v>
      </c>
      <c r="P5" s="212" t="s">
        <v>16</v>
      </c>
      <c r="Q5" s="212" t="s">
        <v>17</v>
      </c>
      <c r="R5" s="211" t="s">
        <v>18</v>
      </c>
      <c r="S5" s="211" t="s">
        <v>19</v>
      </c>
      <c r="T5" s="211" t="s">
        <v>19</v>
      </c>
      <c r="U5" s="211" t="s">
        <v>20</v>
      </c>
      <c r="V5" s="210" t="s">
        <v>21</v>
      </c>
      <c r="W5" s="209" t="s">
        <v>16</v>
      </c>
      <c r="X5" s="209" t="s">
        <v>17</v>
      </c>
      <c r="Y5" s="210" t="s">
        <v>18</v>
      </c>
      <c r="Z5" s="210" t="s">
        <v>19</v>
      </c>
      <c r="AA5" s="210" t="s">
        <v>19</v>
      </c>
      <c r="AB5" s="210" t="s">
        <v>20</v>
      </c>
      <c r="AC5" s="210" t="s">
        <v>21</v>
      </c>
      <c r="AD5" s="209" t="s">
        <v>16</v>
      </c>
      <c r="AE5" s="209" t="s">
        <v>17</v>
      </c>
      <c r="AF5" s="210" t="s">
        <v>18</v>
      </c>
      <c r="AG5" s="210" t="s">
        <v>19</v>
      </c>
      <c r="AH5" s="210" t="s">
        <v>19</v>
      </c>
      <c r="AI5" s="210" t="s">
        <v>20</v>
      </c>
      <c r="AJ5" s="210" t="s">
        <v>21</v>
      </c>
      <c r="AK5" s="209" t="s">
        <v>16</v>
      </c>
      <c r="AL5" s="209" t="s">
        <v>17</v>
      </c>
      <c r="AM5" s="210" t="s">
        <v>18</v>
      </c>
      <c r="AN5" s="989"/>
    </row>
    <row r="6" spans="1:40" s="929" customFormat="1" ht="24" customHeight="1" x14ac:dyDescent="0.3">
      <c r="A6" s="213" t="s">
        <v>22</v>
      </c>
      <c r="B6" s="919" t="s">
        <v>23</v>
      </c>
      <c r="C6" s="919" t="s">
        <v>24</v>
      </c>
      <c r="D6" s="920" t="s">
        <v>25</v>
      </c>
      <c r="E6" s="920" t="s">
        <v>26</v>
      </c>
      <c r="F6" s="921">
        <v>0.3125</v>
      </c>
      <c r="G6" s="921">
        <v>0.5625</v>
      </c>
      <c r="H6" s="922">
        <v>65939625</v>
      </c>
      <c r="I6" s="923"/>
      <c r="J6" s="923"/>
      <c r="K6" s="924">
        <v>6</v>
      </c>
      <c r="L6" s="924">
        <v>6</v>
      </c>
      <c r="M6" s="924">
        <v>6</v>
      </c>
      <c r="N6" s="925"/>
      <c r="O6" s="926"/>
      <c r="P6" s="926"/>
      <c r="Q6" s="926"/>
      <c r="R6" s="924">
        <v>6</v>
      </c>
      <c r="S6" s="924">
        <v>6</v>
      </c>
      <c r="T6" s="924">
        <v>6</v>
      </c>
      <c r="U6" s="924">
        <v>6</v>
      </c>
      <c r="V6" s="924">
        <v>6</v>
      </c>
      <c r="W6" s="927"/>
      <c r="X6" s="923"/>
      <c r="Y6" s="924">
        <v>6</v>
      </c>
      <c r="Z6" s="924">
        <v>6</v>
      </c>
      <c r="AA6" s="924">
        <v>6</v>
      </c>
      <c r="AB6" s="924">
        <v>6</v>
      </c>
      <c r="AC6" s="924">
        <v>6</v>
      </c>
      <c r="AD6" s="923"/>
      <c r="AE6" s="923"/>
      <c r="AF6" s="928">
        <v>6</v>
      </c>
      <c r="AG6" s="928">
        <v>6</v>
      </c>
      <c r="AH6" s="928">
        <v>6</v>
      </c>
      <c r="AI6" s="928">
        <v>6</v>
      </c>
      <c r="AJ6" s="928">
        <v>6</v>
      </c>
      <c r="AK6" s="923"/>
      <c r="AL6" s="923"/>
      <c r="AM6" s="928">
        <v>6</v>
      </c>
      <c r="AN6" s="220">
        <v>114</v>
      </c>
    </row>
    <row r="7" spans="1:40" s="929" customFormat="1" ht="27" customHeight="1" x14ac:dyDescent="0.3">
      <c r="A7" s="213" t="s">
        <v>27</v>
      </c>
      <c r="B7" s="930" t="s">
        <v>28</v>
      </c>
      <c r="C7" s="930" t="s">
        <v>29</v>
      </c>
      <c r="D7" s="931" t="s">
        <v>30</v>
      </c>
      <c r="E7" s="932" t="s">
        <v>31</v>
      </c>
      <c r="F7" s="921">
        <v>0.3125</v>
      </c>
      <c r="G7" s="921">
        <v>0.5625</v>
      </c>
      <c r="H7" s="933">
        <v>74955497</v>
      </c>
      <c r="I7" s="923"/>
      <c r="J7" s="923"/>
      <c r="K7" s="924">
        <v>6</v>
      </c>
      <c r="L7" s="924">
        <v>6</v>
      </c>
      <c r="M7" s="924">
        <v>6</v>
      </c>
      <c r="N7" s="923"/>
      <c r="O7" s="923"/>
      <c r="P7" s="923"/>
      <c r="Q7" s="923"/>
      <c r="R7" s="924">
        <v>6</v>
      </c>
      <c r="S7" s="924">
        <v>6</v>
      </c>
      <c r="T7" s="924">
        <v>6</v>
      </c>
      <c r="U7" s="924">
        <v>6</v>
      </c>
      <c r="V7" s="924">
        <v>6</v>
      </c>
      <c r="W7" s="923"/>
      <c r="X7" s="923"/>
      <c r="Y7" s="924">
        <v>6</v>
      </c>
      <c r="Z7" s="924">
        <v>6</v>
      </c>
      <c r="AA7" s="924">
        <v>6</v>
      </c>
      <c r="AB7" s="924">
        <v>6</v>
      </c>
      <c r="AC7" s="924">
        <v>6</v>
      </c>
      <c r="AD7" s="923"/>
      <c r="AE7" s="923"/>
      <c r="AF7" s="928">
        <v>6</v>
      </c>
      <c r="AG7" s="928">
        <v>6</v>
      </c>
      <c r="AH7" s="928">
        <v>6</v>
      </c>
      <c r="AI7" s="928">
        <v>6</v>
      </c>
      <c r="AJ7" s="928">
        <v>6</v>
      </c>
      <c r="AK7" s="923"/>
      <c r="AL7" s="923"/>
      <c r="AM7" s="928">
        <v>6</v>
      </c>
      <c r="AN7" s="934">
        <v>114</v>
      </c>
    </row>
    <row r="8" spans="1:40" s="929" customFormat="1" ht="25.5" customHeight="1" x14ac:dyDescent="0.3">
      <c r="A8" s="213" t="s">
        <v>32</v>
      </c>
      <c r="B8" s="919" t="s">
        <v>33</v>
      </c>
      <c r="C8" s="919" t="s">
        <v>34</v>
      </c>
      <c r="D8" s="920" t="s">
        <v>35</v>
      </c>
      <c r="E8" s="920" t="s">
        <v>31</v>
      </c>
      <c r="F8" s="921">
        <v>0.3125</v>
      </c>
      <c r="G8" s="921">
        <v>0.5625</v>
      </c>
      <c r="H8" s="933">
        <v>73165377</v>
      </c>
      <c r="I8" s="935"/>
      <c r="J8" s="936"/>
      <c r="K8" s="924">
        <v>6</v>
      </c>
      <c r="L8" s="924">
        <v>6</v>
      </c>
      <c r="M8" s="924">
        <v>6</v>
      </c>
      <c r="N8" s="936"/>
      <c r="O8" s="937"/>
      <c r="P8" s="936"/>
      <c r="Q8" s="937"/>
      <c r="R8" s="924">
        <v>6</v>
      </c>
      <c r="S8" s="924">
        <v>6</v>
      </c>
      <c r="T8" s="924">
        <v>6</v>
      </c>
      <c r="U8" s="924">
        <v>6</v>
      </c>
      <c r="V8" s="924">
        <v>6</v>
      </c>
      <c r="W8" s="923"/>
      <c r="X8" s="923"/>
      <c r="Y8" s="924">
        <v>6</v>
      </c>
      <c r="Z8" s="924" t="s">
        <v>36</v>
      </c>
      <c r="AA8" s="924" t="s">
        <v>36</v>
      </c>
      <c r="AB8" s="924" t="s">
        <v>36</v>
      </c>
      <c r="AC8" s="924" t="s">
        <v>36</v>
      </c>
      <c r="AD8" s="923"/>
      <c r="AE8" s="923"/>
      <c r="AF8" s="928" t="s">
        <v>36</v>
      </c>
      <c r="AG8" s="928" t="s">
        <v>36</v>
      </c>
      <c r="AH8" s="928" t="s">
        <v>36</v>
      </c>
      <c r="AI8" s="928" t="s">
        <v>36</v>
      </c>
      <c r="AJ8" s="928" t="s">
        <v>36</v>
      </c>
      <c r="AK8" s="923"/>
      <c r="AL8" s="923"/>
      <c r="AM8" s="928" t="s">
        <v>36</v>
      </c>
      <c r="AN8" s="934">
        <v>114</v>
      </c>
    </row>
    <row r="9" spans="1:40" s="929" customFormat="1" ht="17.25" customHeight="1" x14ac:dyDescent="0.3">
      <c r="A9" s="213" t="s">
        <v>37</v>
      </c>
      <c r="B9" s="919" t="s">
        <v>38</v>
      </c>
      <c r="C9" s="919" t="s">
        <v>39</v>
      </c>
      <c r="D9" s="920" t="s">
        <v>40</v>
      </c>
      <c r="E9" s="920" t="s">
        <v>41</v>
      </c>
      <c r="F9" s="921">
        <v>0.3125</v>
      </c>
      <c r="G9" s="921">
        <v>0.5625</v>
      </c>
      <c r="H9" s="933">
        <v>77056784</v>
      </c>
      <c r="I9" s="923"/>
      <c r="J9" s="923"/>
      <c r="K9" s="924">
        <v>6</v>
      </c>
      <c r="L9" s="924">
        <v>6</v>
      </c>
      <c r="M9" s="924">
        <v>6</v>
      </c>
      <c r="N9" s="923"/>
      <c r="O9" s="923"/>
      <c r="P9" s="923"/>
      <c r="Q9" s="923"/>
      <c r="R9" s="924">
        <v>6</v>
      </c>
      <c r="S9" s="924">
        <v>6</v>
      </c>
      <c r="T9" s="924">
        <v>6</v>
      </c>
      <c r="U9" s="924">
        <v>6</v>
      </c>
      <c r="V9" s="924">
        <v>6</v>
      </c>
      <c r="W9" s="937"/>
      <c r="X9" s="936"/>
      <c r="Y9" s="924">
        <v>6</v>
      </c>
      <c r="Z9" s="924">
        <v>6</v>
      </c>
      <c r="AA9" s="924">
        <v>6</v>
      </c>
      <c r="AB9" s="924">
        <v>6</v>
      </c>
      <c r="AC9" s="924">
        <v>6</v>
      </c>
      <c r="AD9" s="936"/>
      <c r="AE9" s="937"/>
      <c r="AF9" s="928">
        <v>6</v>
      </c>
      <c r="AG9" s="928">
        <v>6</v>
      </c>
      <c r="AH9" s="928">
        <v>6</v>
      </c>
      <c r="AI9" s="928">
        <v>6</v>
      </c>
      <c r="AJ9" s="928">
        <v>6</v>
      </c>
      <c r="AK9" s="923"/>
      <c r="AL9" s="938"/>
      <c r="AM9" s="928">
        <v>6</v>
      </c>
      <c r="AN9" s="934">
        <v>114</v>
      </c>
    </row>
    <row r="10" spans="1:40" s="929" customFormat="1" ht="17.25" customHeight="1" x14ac:dyDescent="0.3">
      <c r="A10" s="213" t="s">
        <v>42</v>
      </c>
      <c r="B10" s="919" t="s">
        <v>43</v>
      </c>
      <c r="C10" s="919" t="s">
        <v>44</v>
      </c>
      <c r="D10" s="920" t="s">
        <v>45</v>
      </c>
      <c r="E10" s="920" t="s">
        <v>41</v>
      </c>
      <c r="F10" s="921">
        <v>0.3125</v>
      </c>
      <c r="G10" s="921">
        <v>0.5625</v>
      </c>
      <c r="H10" s="933">
        <v>75352900</v>
      </c>
      <c r="I10" s="923"/>
      <c r="J10" s="923"/>
      <c r="K10" s="924">
        <v>6</v>
      </c>
      <c r="L10" s="924">
        <v>6</v>
      </c>
      <c r="M10" s="924">
        <v>6</v>
      </c>
      <c r="N10" s="939"/>
      <c r="O10" s="939"/>
      <c r="P10" s="939"/>
      <c r="Q10" s="923"/>
      <c r="R10" s="924">
        <v>6</v>
      </c>
      <c r="S10" s="924">
        <v>6</v>
      </c>
      <c r="T10" s="924">
        <v>6</v>
      </c>
      <c r="U10" s="924">
        <v>6</v>
      </c>
      <c r="V10" s="924">
        <v>6</v>
      </c>
      <c r="W10" s="923"/>
      <c r="X10" s="923"/>
      <c r="Y10" s="924">
        <v>6</v>
      </c>
      <c r="Z10" s="924">
        <v>6</v>
      </c>
      <c r="AA10" s="924">
        <v>6</v>
      </c>
      <c r="AB10" s="924">
        <v>6</v>
      </c>
      <c r="AC10" s="924">
        <v>6</v>
      </c>
      <c r="AD10" s="923"/>
      <c r="AE10" s="923"/>
      <c r="AF10" s="928">
        <v>6</v>
      </c>
      <c r="AG10" s="928">
        <v>6</v>
      </c>
      <c r="AH10" s="928">
        <v>6</v>
      </c>
      <c r="AI10" s="928">
        <v>6</v>
      </c>
      <c r="AJ10" s="928">
        <v>6</v>
      </c>
      <c r="AK10" s="923"/>
      <c r="AL10" s="923"/>
      <c r="AM10" s="928">
        <v>6</v>
      </c>
      <c r="AN10" s="220">
        <v>114</v>
      </c>
    </row>
    <row r="11" spans="1:40" s="929" customFormat="1" ht="22.5" customHeight="1" x14ac:dyDescent="0.3">
      <c r="A11" s="213" t="s">
        <v>46</v>
      </c>
      <c r="B11" s="919" t="s">
        <v>47</v>
      </c>
      <c r="C11" s="919" t="s">
        <v>48</v>
      </c>
      <c r="D11" s="920" t="s">
        <v>49</v>
      </c>
      <c r="E11" s="920" t="s">
        <v>31</v>
      </c>
      <c r="F11" s="921">
        <v>0.5625</v>
      </c>
      <c r="G11" s="921">
        <v>0.8125</v>
      </c>
      <c r="H11" s="933">
        <v>61532026</v>
      </c>
      <c r="I11" s="923"/>
      <c r="J11" s="923"/>
      <c r="K11" s="924">
        <v>6</v>
      </c>
      <c r="L11" s="924">
        <v>6</v>
      </c>
      <c r="M11" s="924">
        <v>6</v>
      </c>
      <c r="N11" s="923"/>
      <c r="O11" s="923"/>
      <c r="P11" s="923"/>
      <c r="Q11" s="923"/>
      <c r="R11" s="924">
        <v>6</v>
      </c>
      <c r="S11" s="924">
        <v>6</v>
      </c>
      <c r="T11" s="924">
        <v>6</v>
      </c>
      <c r="U11" s="924">
        <v>6</v>
      </c>
      <c r="V11" s="924">
        <v>6</v>
      </c>
      <c r="W11" s="923"/>
      <c r="X11" s="923"/>
      <c r="Y11" s="924">
        <v>6</v>
      </c>
      <c r="Z11" s="924">
        <v>6</v>
      </c>
      <c r="AA11" s="924">
        <v>6</v>
      </c>
      <c r="AB11" s="924">
        <v>6</v>
      </c>
      <c r="AC11" s="924">
        <v>6</v>
      </c>
      <c r="AD11" s="923"/>
      <c r="AE11" s="923"/>
      <c r="AF11" s="928">
        <v>6</v>
      </c>
      <c r="AG11" s="928">
        <v>6</v>
      </c>
      <c r="AH11" s="928">
        <v>6</v>
      </c>
      <c r="AI11" s="928">
        <v>6</v>
      </c>
      <c r="AJ11" s="928">
        <v>6</v>
      </c>
      <c r="AK11" s="923"/>
      <c r="AL11" s="923"/>
      <c r="AM11" s="928">
        <v>6</v>
      </c>
      <c r="AN11" s="220">
        <v>114</v>
      </c>
    </row>
    <row r="12" spans="1:40" s="929" customFormat="1" ht="27.75" customHeight="1" x14ac:dyDescent="0.3">
      <c r="A12" s="219" t="s">
        <v>50</v>
      </c>
      <c r="B12" s="940" t="s">
        <v>51</v>
      </c>
      <c r="C12" s="940" t="s">
        <v>44</v>
      </c>
      <c r="D12" s="941" t="s">
        <v>52</v>
      </c>
      <c r="E12" s="920" t="s">
        <v>31</v>
      </c>
      <c r="F12" s="921">
        <v>0.5625</v>
      </c>
      <c r="G12" s="921">
        <v>0.8125</v>
      </c>
      <c r="H12" s="942">
        <v>78471264</v>
      </c>
      <c r="I12" s="923"/>
      <c r="J12" s="923"/>
      <c r="K12" s="924">
        <v>6</v>
      </c>
      <c r="L12" s="924">
        <v>6</v>
      </c>
      <c r="M12" s="924">
        <v>6</v>
      </c>
      <c r="N12" s="943"/>
      <c r="O12" s="937"/>
      <c r="P12" s="936"/>
      <c r="Q12" s="937"/>
      <c r="R12" s="924">
        <v>6</v>
      </c>
      <c r="S12" s="924">
        <v>6</v>
      </c>
      <c r="T12" s="924">
        <v>6</v>
      </c>
      <c r="U12" s="924">
        <v>6</v>
      </c>
      <c r="V12" s="924">
        <v>6</v>
      </c>
      <c r="W12" s="937"/>
      <c r="X12" s="936"/>
      <c r="Y12" s="924">
        <v>6</v>
      </c>
      <c r="Z12" s="990" t="s">
        <v>53</v>
      </c>
      <c r="AA12" s="991"/>
      <c r="AB12" s="991"/>
      <c r="AC12" s="991"/>
      <c r="AD12" s="991"/>
      <c r="AE12" s="991"/>
      <c r="AF12" s="991"/>
      <c r="AG12" s="991"/>
      <c r="AH12" s="991"/>
      <c r="AI12" s="991"/>
      <c r="AJ12" s="991"/>
      <c r="AK12" s="991"/>
      <c r="AL12" s="991"/>
      <c r="AM12" s="992"/>
      <c r="AN12" s="220">
        <v>54</v>
      </c>
    </row>
    <row r="13" spans="1:40" s="929" customFormat="1" ht="17.25" customHeight="1" x14ac:dyDescent="0.3">
      <c r="A13" s="213" t="s">
        <v>54</v>
      </c>
      <c r="B13" s="919" t="s">
        <v>55</v>
      </c>
      <c r="C13" s="919" t="s">
        <v>56</v>
      </c>
      <c r="D13" s="920" t="s">
        <v>57</v>
      </c>
      <c r="E13" s="920" t="s">
        <v>41</v>
      </c>
      <c r="F13" s="921">
        <v>0.5625</v>
      </c>
      <c r="G13" s="921">
        <v>0.8125</v>
      </c>
      <c r="H13" s="933">
        <v>75552868</v>
      </c>
      <c r="I13" s="923"/>
      <c r="J13" s="923"/>
      <c r="K13" s="924">
        <v>6</v>
      </c>
      <c r="L13" s="924">
        <v>6</v>
      </c>
      <c r="M13" s="924">
        <v>6</v>
      </c>
      <c r="N13" s="923"/>
      <c r="O13" s="923"/>
      <c r="P13" s="923"/>
      <c r="Q13" s="923"/>
      <c r="R13" s="924">
        <v>6</v>
      </c>
      <c r="S13" s="924">
        <v>6</v>
      </c>
      <c r="T13" s="924">
        <v>6</v>
      </c>
      <c r="U13" s="924">
        <v>6</v>
      </c>
      <c r="V13" s="924">
        <v>6</v>
      </c>
      <c r="W13" s="923"/>
      <c r="X13" s="923"/>
      <c r="Y13" s="924">
        <v>6</v>
      </c>
      <c r="Z13" s="924">
        <v>6</v>
      </c>
      <c r="AA13" s="924">
        <v>6</v>
      </c>
      <c r="AB13" s="924">
        <v>6</v>
      </c>
      <c r="AC13" s="924">
        <v>6</v>
      </c>
      <c r="AD13" s="923"/>
      <c r="AE13" s="923"/>
      <c r="AF13" s="928">
        <v>6</v>
      </c>
      <c r="AG13" s="928">
        <v>6</v>
      </c>
      <c r="AH13" s="928">
        <v>6</v>
      </c>
      <c r="AI13" s="928">
        <v>6</v>
      </c>
      <c r="AJ13" s="928">
        <v>6</v>
      </c>
      <c r="AK13" s="923"/>
      <c r="AL13" s="923"/>
      <c r="AM13" s="928">
        <v>6</v>
      </c>
      <c r="AN13" s="220">
        <v>114</v>
      </c>
    </row>
    <row r="14" spans="1:40" s="929" customFormat="1" ht="17.25" customHeight="1" x14ac:dyDescent="0.3">
      <c r="A14" s="213" t="s">
        <v>58</v>
      </c>
      <c r="B14" s="919" t="s">
        <v>59</v>
      </c>
      <c r="C14" s="919" t="s">
        <v>60</v>
      </c>
      <c r="D14" s="920" t="s">
        <v>61</v>
      </c>
      <c r="E14" s="920" t="s">
        <v>41</v>
      </c>
      <c r="F14" s="921">
        <v>0.5625</v>
      </c>
      <c r="G14" s="921">
        <v>0.8125</v>
      </c>
      <c r="H14" s="933">
        <v>69118947</v>
      </c>
      <c r="I14" s="923"/>
      <c r="J14" s="923"/>
      <c r="K14" s="924">
        <v>6</v>
      </c>
      <c r="L14" s="924">
        <v>6</v>
      </c>
      <c r="M14" s="924">
        <v>6</v>
      </c>
      <c r="N14" s="923"/>
      <c r="O14" s="923"/>
      <c r="P14" s="923"/>
      <c r="Q14" s="938"/>
      <c r="R14" s="924">
        <v>6</v>
      </c>
      <c r="S14" s="924">
        <v>6</v>
      </c>
      <c r="T14" s="924">
        <v>6</v>
      </c>
      <c r="U14" s="924">
        <v>6</v>
      </c>
      <c r="V14" s="924">
        <v>6</v>
      </c>
      <c r="W14" s="923"/>
      <c r="X14" s="923"/>
      <c r="Y14" s="924">
        <v>6</v>
      </c>
      <c r="Z14" s="924">
        <v>6</v>
      </c>
      <c r="AA14" s="924">
        <v>6</v>
      </c>
      <c r="AB14" s="924">
        <v>6</v>
      </c>
      <c r="AC14" s="924">
        <v>6</v>
      </c>
      <c r="AD14" s="923"/>
      <c r="AE14" s="923"/>
      <c r="AF14" s="928">
        <v>6</v>
      </c>
      <c r="AG14" s="928">
        <v>6</v>
      </c>
      <c r="AH14" s="928">
        <v>6</v>
      </c>
      <c r="AI14" s="928">
        <v>6</v>
      </c>
      <c r="AJ14" s="928">
        <v>6</v>
      </c>
      <c r="AK14" s="923"/>
      <c r="AL14" s="923"/>
      <c r="AM14" s="928">
        <v>6</v>
      </c>
      <c r="AN14" s="220">
        <v>114</v>
      </c>
    </row>
    <row r="15" spans="1:40" s="929" customFormat="1" ht="17.25" customHeight="1" x14ac:dyDescent="0.3">
      <c r="A15" s="213" t="s">
        <v>62</v>
      </c>
      <c r="B15" s="919" t="s">
        <v>63</v>
      </c>
      <c r="C15" s="919" t="s">
        <v>64</v>
      </c>
      <c r="D15" s="920" t="s">
        <v>65</v>
      </c>
      <c r="E15" s="920" t="s">
        <v>31</v>
      </c>
      <c r="F15" s="921">
        <v>0.8125</v>
      </c>
      <c r="G15" s="944">
        <v>0.27083333333333331</v>
      </c>
      <c r="H15" s="942">
        <v>78425037</v>
      </c>
      <c r="I15" s="923">
        <v>11</v>
      </c>
      <c r="J15" s="923"/>
      <c r="K15" s="928"/>
      <c r="L15" s="928">
        <v>11</v>
      </c>
      <c r="M15" s="928"/>
      <c r="N15" s="923"/>
      <c r="O15" s="939">
        <v>11</v>
      </c>
      <c r="P15" s="939"/>
      <c r="Q15" s="923"/>
      <c r="R15" s="945">
        <v>11</v>
      </c>
      <c r="S15" s="928"/>
      <c r="T15" s="928"/>
      <c r="U15" s="928">
        <v>11</v>
      </c>
      <c r="V15" s="928"/>
      <c r="W15" s="923"/>
      <c r="X15" s="923">
        <v>11</v>
      </c>
      <c r="Y15" s="928"/>
      <c r="Z15" s="928"/>
      <c r="AA15" s="928">
        <v>11</v>
      </c>
      <c r="AB15" s="928"/>
      <c r="AC15" s="928"/>
      <c r="AD15" s="923">
        <v>11</v>
      </c>
      <c r="AE15" s="923"/>
      <c r="AF15" s="928"/>
      <c r="AG15" s="928">
        <v>11</v>
      </c>
      <c r="AH15" s="928"/>
      <c r="AI15" s="928"/>
      <c r="AJ15" s="928">
        <v>11</v>
      </c>
      <c r="AK15" s="923"/>
      <c r="AL15" s="923"/>
      <c r="AM15" s="928">
        <v>11</v>
      </c>
      <c r="AN15" s="220">
        <v>121</v>
      </c>
    </row>
    <row r="16" spans="1:40" s="929" customFormat="1" ht="24" customHeight="1" x14ac:dyDescent="0.3">
      <c r="A16" s="213" t="s">
        <v>66</v>
      </c>
      <c r="B16" s="919" t="s">
        <v>67</v>
      </c>
      <c r="C16" s="919" t="s">
        <v>68</v>
      </c>
      <c r="D16" s="920" t="s">
        <v>69</v>
      </c>
      <c r="E16" s="920" t="s">
        <v>31</v>
      </c>
      <c r="F16" s="921">
        <v>0.8125</v>
      </c>
      <c r="G16" s="921">
        <v>0.3125</v>
      </c>
      <c r="H16" s="933">
        <v>68812153</v>
      </c>
      <c r="I16" s="923">
        <v>12</v>
      </c>
      <c r="J16" s="923"/>
      <c r="K16" s="928"/>
      <c r="L16" s="928">
        <v>12</v>
      </c>
      <c r="M16" s="928"/>
      <c r="N16" s="923"/>
      <c r="O16" s="923">
        <v>12</v>
      </c>
      <c r="P16" s="923"/>
      <c r="Q16" s="923"/>
      <c r="R16" s="928">
        <v>12</v>
      </c>
      <c r="S16" s="928"/>
      <c r="T16" s="928"/>
      <c r="U16" s="928">
        <v>12</v>
      </c>
      <c r="V16" s="928"/>
      <c r="W16" s="923"/>
      <c r="X16" s="923">
        <v>12</v>
      </c>
      <c r="Y16" s="928"/>
      <c r="Z16" s="928"/>
      <c r="AA16" s="928">
        <v>12</v>
      </c>
      <c r="AB16" s="928"/>
      <c r="AC16" s="928"/>
      <c r="AD16" s="923">
        <v>12</v>
      </c>
      <c r="AE16" s="923"/>
      <c r="AF16" s="928"/>
      <c r="AG16" s="928">
        <v>12</v>
      </c>
      <c r="AH16" s="928"/>
      <c r="AI16" s="928"/>
      <c r="AJ16" s="928">
        <v>12</v>
      </c>
      <c r="AK16" s="923"/>
      <c r="AL16" s="923"/>
      <c r="AM16" s="928">
        <v>12</v>
      </c>
      <c r="AN16" s="220">
        <v>132</v>
      </c>
    </row>
    <row r="17" spans="1:40" s="929" customFormat="1" ht="17.25" customHeight="1" x14ac:dyDescent="0.3">
      <c r="A17" s="213" t="s">
        <v>70</v>
      </c>
      <c r="B17" s="919" t="s">
        <v>71</v>
      </c>
      <c r="C17" s="919" t="s">
        <v>72</v>
      </c>
      <c r="D17" s="920" t="s">
        <v>35</v>
      </c>
      <c r="E17" s="920" t="s">
        <v>41</v>
      </c>
      <c r="F17" s="921">
        <v>0.8125</v>
      </c>
      <c r="G17" s="921">
        <v>0.3125</v>
      </c>
      <c r="H17" s="942">
        <v>77834600</v>
      </c>
      <c r="I17" s="923">
        <v>12</v>
      </c>
      <c r="J17" s="923"/>
      <c r="K17" s="928"/>
      <c r="L17" s="928">
        <v>12</v>
      </c>
      <c r="M17" s="928"/>
      <c r="N17" s="923"/>
      <c r="O17" s="923">
        <v>12</v>
      </c>
      <c r="P17" s="923"/>
      <c r="Q17" s="946"/>
      <c r="R17" s="928"/>
      <c r="S17" s="928"/>
      <c r="T17" s="928"/>
      <c r="U17" s="928">
        <v>12</v>
      </c>
      <c r="V17" s="928"/>
      <c r="W17" s="923"/>
      <c r="X17" s="923">
        <v>12</v>
      </c>
      <c r="Y17" s="928"/>
      <c r="Z17" s="928"/>
      <c r="AA17" s="928">
        <v>12</v>
      </c>
      <c r="AB17" s="928"/>
      <c r="AC17" s="928"/>
      <c r="AD17" s="923">
        <v>12</v>
      </c>
      <c r="AE17" s="923"/>
      <c r="AF17" s="928"/>
      <c r="AG17" s="928">
        <v>12</v>
      </c>
      <c r="AH17" s="928"/>
      <c r="AI17" s="928"/>
      <c r="AJ17" s="928">
        <v>12</v>
      </c>
      <c r="AK17" s="923"/>
      <c r="AL17" s="923">
        <v>12</v>
      </c>
      <c r="AM17" s="928">
        <v>12</v>
      </c>
      <c r="AN17" s="220">
        <v>132</v>
      </c>
    </row>
    <row r="18" spans="1:40" s="929" customFormat="1" ht="17.25" customHeight="1" x14ac:dyDescent="0.3">
      <c r="A18" s="213" t="s">
        <v>73</v>
      </c>
      <c r="B18" s="919" t="s">
        <v>74</v>
      </c>
      <c r="C18" s="919" t="s">
        <v>75</v>
      </c>
      <c r="D18" s="920" t="s">
        <v>76</v>
      </c>
      <c r="E18" s="920" t="s">
        <v>41</v>
      </c>
      <c r="F18" s="921">
        <v>0.8125</v>
      </c>
      <c r="G18" s="921">
        <v>0.3125</v>
      </c>
      <c r="H18" s="933">
        <v>69205660</v>
      </c>
      <c r="I18" s="947">
        <v>12</v>
      </c>
      <c r="J18" s="948"/>
      <c r="K18" s="386"/>
      <c r="L18" s="928">
        <v>12</v>
      </c>
      <c r="M18" s="386"/>
      <c r="N18" s="949"/>
      <c r="O18" s="939">
        <v>12</v>
      </c>
      <c r="P18" s="939"/>
      <c r="Q18" s="946"/>
      <c r="R18" s="928">
        <v>12</v>
      </c>
      <c r="S18" s="928"/>
      <c r="T18" s="928"/>
      <c r="U18" s="928">
        <v>12</v>
      </c>
      <c r="V18" s="928"/>
      <c r="W18" s="923"/>
      <c r="X18" s="923">
        <v>12</v>
      </c>
      <c r="Y18" s="928"/>
      <c r="Z18" s="928"/>
      <c r="AA18" s="928">
        <v>12</v>
      </c>
      <c r="AB18" s="928"/>
      <c r="AC18" s="928"/>
      <c r="AD18" s="923">
        <v>12</v>
      </c>
      <c r="AE18" s="923"/>
      <c r="AF18" s="928"/>
      <c r="AG18" s="928">
        <v>12</v>
      </c>
      <c r="AH18" s="928"/>
      <c r="AI18" s="928"/>
      <c r="AJ18" s="928">
        <v>12</v>
      </c>
      <c r="AK18" s="923"/>
      <c r="AL18" s="923"/>
      <c r="AM18" s="928">
        <v>12</v>
      </c>
      <c r="AN18" s="220">
        <v>132</v>
      </c>
    </row>
    <row r="19" spans="1:40" s="929" customFormat="1" ht="28.5" customHeight="1" x14ac:dyDescent="0.3">
      <c r="A19" s="213" t="s">
        <v>77</v>
      </c>
      <c r="B19" s="919" t="s">
        <v>78</v>
      </c>
      <c r="C19" s="919" t="s">
        <v>79</v>
      </c>
      <c r="D19" s="920" t="s">
        <v>80</v>
      </c>
      <c r="E19" s="920" t="s">
        <v>31</v>
      </c>
      <c r="F19" s="921">
        <v>0.8125</v>
      </c>
      <c r="G19" s="921">
        <v>0.3125</v>
      </c>
      <c r="H19" s="922">
        <v>60941458</v>
      </c>
      <c r="I19" s="939"/>
      <c r="J19" s="939">
        <v>12</v>
      </c>
      <c r="K19" s="950"/>
      <c r="L19" s="950"/>
      <c r="M19" s="950">
        <v>12</v>
      </c>
      <c r="N19" s="939"/>
      <c r="O19" s="939"/>
      <c r="P19" s="939">
        <v>12</v>
      </c>
      <c r="Q19" s="923"/>
      <c r="R19" s="928"/>
      <c r="S19" s="945">
        <v>12</v>
      </c>
      <c r="T19" s="928"/>
      <c r="U19" s="928"/>
      <c r="V19" s="928">
        <v>12</v>
      </c>
      <c r="W19" s="923"/>
      <c r="X19" s="923"/>
      <c r="Y19" s="928">
        <v>12</v>
      </c>
      <c r="Z19" s="928"/>
      <c r="AA19" s="928"/>
      <c r="AB19" s="928">
        <v>12</v>
      </c>
      <c r="AC19" s="928"/>
      <c r="AD19" s="923"/>
      <c r="AE19" s="923">
        <v>12</v>
      </c>
      <c r="AF19" s="928"/>
      <c r="AG19" s="928"/>
      <c r="AH19" s="928">
        <v>12</v>
      </c>
      <c r="AI19" s="928"/>
      <c r="AJ19" s="928"/>
      <c r="AK19" s="923">
        <v>12</v>
      </c>
      <c r="AL19" s="923"/>
      <c r="AM19" s="928"/>
      <c r="AN19" s="220">
        <v>120</v>
      </c>
    </row>
    <row r="20" spans="1:40" s="929" customFormat="1" ht="28.5" customHeight="1" x14ac:dyDescent="0.3">
      <c r="A20" s="213" t="s">
        <v>81</v>
      </c>
      <c r="B20" s="919" t="s">
        <v>82</v>
      </c>
      <c r="C20" s="919" t="s">
        <v>83</v>
      </c>
      <c r="D20" s="920" t="s">
        <v>84</v>
      </c>
      <c r="E20" s="932" t="s">
        <v>31</v>
      </c>
      <c r="F20" s="921">
        <v>0.8125</v>
      </c>
      <c r="G20" s="921">
        <v>0.3125</v>
      </c>
      <c r="H20" s="942">
        <v>65857598</v>
      </c>
      <c r="I20" s="951"/>
      <c r="J20" s="923">
        <v>12</v>
      </c>
      <c r="K20" s="928"/>
      <c r="L20" s="928"/>
      <c r="M20" s="928">
        <v>12</v>
      </c>
      <c r="N20" s="923"/>
      <c r="O20" s="923"/>
      <c r="P20" s="923">
        <v>12</v>
      </c>
      <c r="Q20" s="923"/>
      <c r="R20" s="928"/>
      <c r="S20" s="928">
        <v>12</v>
      </c>
      <c r="T20" s="928"/>
      <c r="U20" s="928"/>
      <c r="V20" s="928">
        <v>12</v>
      </c>
      <c r="W20" s="923"/>
      <c r="X20" s="923"/>
      <c r="Y20" s="928">
        <v>12</v>
      </c>
      <c r="Z20" s="928"/>
      <c r="AA20" s="928"/>
      <c r="AB20" s="928">
        <v>12</v>
      </c>
      <c r="AC20" s="928"/>
      <c r="AD20" s="923"/>
      <c r="AE20" s="923">
        <v>12</v>
      </c>
      <c r="AF20" s="928"/>
      <c r="AG20" s="928"/>
      <c r="AH20" s="928">
        <v>12</v>
      </c>
      <c r="AI20" s="928"/>
      <c r="AJ20" s="928"/>
      <c r="AK20" s="923">
        <v>12</v>
      </c>
      <c r="AL20" s="923"/>
      <c r="AM20" s="928"/>
      <c r="AN20" s="220">
        <v>120</v>
      </c>
    </row>
    <row r="21" spans="1:40" s="929" customFormat="1" ht="17.25" customHeight="1" x14ac:dyDescent="0.3">
      <c r="A21" s="213" t="s">
        <v>85</v>
      </c>
      <c r="B21" s="919" t="s">
        <v>86</v>
      </c>
      <c r="C21" s="919" t="s">
        <v>87</v>
      </c>
      <c r="D21" s="920" t="s">
        <v>88</v>
      </c>
      <c r="E21" s="920" t="s">
        <v>41</v>
      </c>
      <c r="F21" s="921">
        <v>0.8125</v>
      </c>
      <c r="G21" s="921">
        <v>0.3125</v>
      </c>
      <c r="H21" s="942">
        <v>73695511</v>
      </c>
      <c r="I21" s="926"/>
      <c r="J21" s="923">
        <v>12</v>
      </c>
      <c r="K21" s="928"/>
      <c r="L21" s="386"/>
      <c r="M21" s="928">
        <v>12</v>
      </c>
      <c r="N21" s="948"/>
      <c r="O21" s="948"/>
      <c r="P21" s="923">
        <v>12</v>
      </c>
      <c r="Q21" s="948"/>
      <c r="R21" s="386"/>
      <c r="S21" s="928">
        <v>12</v>
      </c>
      <c r="T21" s="386"/>
      <c r="U21" s="386"/>
      <c r="V21" s="928">
        <v>12</v>
      </c>
      <c r="W21" s="948"/>
      <c r="X21" s="948"/>
      <c r="Y21" s="928">
        <v>12</v>
      </c>
      <c r="Z21" s="386"/>
      <c r="AA21" s="386"/>
      <c r="AB21" s="928">
        <v>12</v>
      </c>
      <c r="AC21" s="386"/>
      <c r="AD21" s="948"/>
      <c r="AE21" s="923">
        <v>12</v>
      </c>
      <c r="AF21" s="386"/>
      <c r="AG21" s="386"/>
      <c r="AH21" s="928">
        <v>12</v>
      </c>
      <c r="AI21" s="386"/>
      <c r="AJ21" s="386"/>
      <c r="AK21" s="923">
        <v>12</v>
      </c>
      <c r="AL21" s="923"/>
      <c r="AM21" s="386"/>
      <c r="AN21" s="220">
        <v>120</v>
      </c>
    </row>
    <row r="22" spans="1:40" s="929" customFormat="1" ht="17.25" customHeight="1" x14ac:dyDescent="0.3">
      <c r="A22" s="213" t="s">
        <v>89</v>
      </c>
      <c r="B22" s="919" t="s">
        <v>90</v>
      </c>
      <c r="C22" s="919" t="s">
        <v>91</v>
      </c>
      <c r="D22" s="920" t="s">
        <v>92</v>
      </c>
      <c r="E22" s="920" t="s">
        <v>41</v>
      </c>
      <c r="F22" s="921">
        <v>0.8125</v>
      </c>
      <c r="G22" s="921">
        <v>0.3125</v>
      </c>
      <c r="H22" s="220">
        <v>77814370</v>
      </c>
      <c r="I22" s="951"/>
      <c r="J22" s="923">
        <v>12</v>
      </c>
      <c r="K22" s="928"/>
      <c r="L22" s="386"/>
      <c r="M22" s="928">
        <v>12</v>
      </c>
      <c r="N22" s="948"/>
      <c r="O22" s="948"/>
      <c r="P22" s="923">
        <v>12</v>
      </c>
      <c r="Q22" s="948"/>
      <c r="R22" s="386"/>
      <c r="S22" s="928">
        <v>12</v>
      </c>
      <c r="T22" s="928"/>
      <c r="U22" s="386"/>
      <c r="V22" s="928">
        <v>12</v>
      </c>
      <c r="W22" s="948"/>
      <c r="X22" s="948"/>
      <c r="Y22" s="928">
        <v>12</v>
      </c>
      <c r="Z22" s="386"/>
      <c r="AA22" s="386"/>
      <c r="AB22" s="928">
        <v>12</v>
      </c>
      <c r="AC22" s="945"/>
      <c r="AD22" s="948"/>
      <c r="AE22" s="923">
        <v>12</v>
      </c>
      <c r="AF22" s="386"/>
      <c r="AG22" s="386"/>
      <c r="AH22" s="928">
        <v>12</v>
      </c>
      <c r="AI22" s="386"/>
      <c r="AJ22" s="386"/>
      <c r="AK22" s="923">
        <v>12</v>
      </c>
      <c r="AL22" s="923"/>
      <c r="AM22" s="386"/>
      <c r="AN22" s="220">
        <v>120</v>
      </c>
    </row>
    <row r="23" spans="1:40" s="929" customFormat="1" ht="17.25" customHeight="1" x14ac:dyDescent="0.3">
      <c r="A23" s="220" t="s">
        <v>93</v>
      </c>
      <c r="B23" s="919" t="s">
        <v>94</v>
      </c>
      <c r="C23" s="919" t="s">
        <v>95</v>
      </c>
      <c r="D23" s="920" t="s">
        <v>96</v>
      </c>
      <c r="E23" s="932" t="s">
        <v>31</v>
      </c>
      <c r="F23" s="921">
        <v>0.8125</v>
      </c>
      <c r="G23" s="921">
        <v>0.3125</v>
      </c>
      <c r="H23" s="933">
        <v>75549320</v>
      </c>
      <c r="I23" s="951"/>
      <c r="J23" s="923"/>
      <c r="K23" s="945">
        <v>12</v>
      </c>
      <c r="L23" s="386"/>
      <c r="M23" s="928"/>
      <c r="N23" s="923">
        <v>12</v>
      </c>
      <c r="O23" s="948"/>
      <c r="P23" s="923"/>
      <c r="Q23" s="923">
        <v>12</v>
      </c>
      <c r="R23" s="928"/>
      <c r="S23" s="928"/>
      <c r="T23" s="928">
        <v>12</v>
      </c>
      <c r="U23" s="386"/>
      <c r="V23" s="928"/>
      <c r="W23" s="923">
        <v>12</v>
      </c>
      <c r="X23" s="948"/>
      <c r="Y23" s="928"/>
      <c r="Z23" s="928">
        <v>12</v>
      </c>
      <c r="AA23" s="386"/>
      <c r="AB23" s="928"/>
      <c r="AC23" s="928">
        <v>12</v>
      </c>
      <c r="AD23" s="948"/>
      <c r="AE23" s="923"/>
      <c r="AF23" s="928">
        <v>12</v>
      </c>
      <c r="AG23" s="386"/>
      <c r="AH23" s="928"/>
      <c r="AI23" s="928">
        <v>12</v>
      </c>
      <c r="AJ23" s="386"/>
      <c r="AK23" s="923"/>
      <c r="AL23" s="923">
        <v>12</v>
      </c>
      <c r="AM23" s="928"/>
      <c r="AN23" s="220">
        <v>120</v>
      </c>
    </row>
    <row r="24" spans="1:40" s="929" customFormat="1" ht="17.25" customHeight="1" x14ac:dyDescent="0.3">
      <c r="A24" s="213" t="s">
        <v>97</v>
      </c>
      <c r="B24" s="919" t="s">
        <v>98</v>
      </c>
      <c r="C24" s="919" t="s">
        <v>99</v>
      </c>
      <c r="D24" s="920" t="s">
        <v>100</v>
      </c>
      <c r="E24" s="920" t="s">
        <v>31</v>
      </c>
      <c r="F24" s="921">
        <v>0.8125</v>
      </c>
      <c r="G24" s="944">
        <v>0.27083333333333331</v>
      </c>
      <c r="H24" s="933">
        <v>78029484</v>
      </c>
      <c r="I24" s="952"/>
      <c r="J24" s="923"/>
      <c r="K24" s="928">
        <v>11</v>
      </c>
      <c r="L24" s="386"/>
      <c r="M24" s="386"/>
      <c r="N24" s="923">
        <v>11</v>
      </c>
      <c r="O24" s="948"/>
      <c r="P24" s="948"/>
      <c r="Q24" s="923">
        <v>11</v>
      </c>
      <c r="R24" s="386"/>
      <c r="S24" s="928"/>
      <c r="T24" s="928">
        <v>11</v>
      </c>
      <c r="U24" s="386"/>
      <c r="V24" s="386"/>
      <c r="W24" s="923">
        <v>11</v>
      </c>
      <c r="X24" s="948"/>
      <c r="Y24" s="386"/>
      <c r="Z24" s="928">
        <v>11</v>
      </c>
      <c r="AA24" s="386"/>
      <c r="AB24" s="386"/>
      <c r="AC24" s="928">
        <v>11</v>
      </c>
      <c r="AD24" s="948"/>
      <c r="AE24" s="948"/>
      <c r="AF24" s="928">
        <v>11</v>
      </c>
      <c r="AG24" s="386"/>
      <c r="AH24" s="386"/>
      <c r="AI24" s="928">
        <v>11</v>
      </c>
      <c r="AJ24" s="928"/>
      <c r="AK24" s="923"/>
      <c r="AL24" s="923">
        <v>11</v>
      </c>
      <c r="AM24" s="928"/>
      <c r="AN24" s="220">
        <v>110</v>
      </c>
    </row>
    <row r="25" spans="1:40" s="929" customFormat="1" ht="17.25" customHeight="1" x14ac:dyDescent="0.3">
      <c r="A25" s="213" t="s">
        <v>101</v>
      </c>
      <c r="B25" s="919" t="s">
        <v>102</v>
      </c>
      <c r="C25" s="919" t="s">
        <v>103</v>
      </c>
      <c r="D25" s="920" t="s">
        <v>104</v>
      </c>
      <c r="E25" s="920" t="s">
        <v>41</v>
      </c>
      <c r="F25" s="921">
        <v>0.8125</v>
      </c>
      <c r="G25" s="921">
        <v>0.3125</v>
      </c>
      <c r="H25" s="942">
        <v>76393108</v>
      </c>
      <c r="I25" s="951"/>
      <c r="J25" s="923"/>
      <c r="K25" s="928">
        <v>12</v>
      </c>
      <c r="L25" s="386"/>
      <c r="M25" s="928"/>
      <c r="N25" s="923">
        <v>12</v>
      </c>
      <c r="O25" s="923"/>
      <c r="P25" s="923"/>
      <c r="Q25" s="923">
        <v>12</v>
      </c>
      <c r="R25" s="386"/>
      <c r="S25" s="928"/>
      <c r="T25" s="928">
        <v>12</v>
      </c>
      <c r="U25" s="953"/>
      <c r="V25" s="954"/>
      <c r="W25" s="923">
        <v>12</v>
      </c>
      <c r="X25" s="955"/>
      <c r="Y25" s="956"/>
      <c r="Z25" s="928">
        <v>12</v>
      </c>
      <c r="AA25" s="956"/>
      <c r="AB25" s="954"/>
      <c r="AC25" s="957">
        <v>12</v>
      </c>
      <c r="AD25" s="955"/>
      <c r="AE25" s="935"/>
      <c r="AF25" s="957">
        <v>12</v>
      </c>
      <c r="AG25" s="954"/>
      <c r="AH25" s="954"/>
      <c r="AI25" s="957">
        <v>12</v>
      </c>
      <c r="AJ25" s="954"/>
      <c r="AK25" s="955"/>
      <c r="AL25" s="923">
        <v>12</v>
      </c>
      <c r="AM25" s="958"/>
      <c r="AN25" s="220">
        <v>120</v>
      </c>
    </row>
    <row r="26" spans="1:40" s="929" customFormat="1" ht="17.25" customHeight="1" x14ac:dyDescent="0.3">
      <c r="A26" s="213" t="s">
        <v>105</v>
      </c>
      <c r="B26" s="919" t="s">
        <v>33</v>
      </c>
      <c r="C26" s="919" t="s">
        <v>34</v>
      </c>
      <c r="D26" s="920" t="s">
        <v>106</v>
      </c>
      <c r="E26" s="920" t="s">
        <v>41</v>
      </c>
      <c r="F26" s="921">
        <v>0.8125</v>
      </c>
      <c r="G26" s="921">
        <v>0.3125</v>
      </c>
      <c r="H26" s="933">
        <v>77357349</v>
      </c>
      <c r="I26" s="951"/>
      <c r="J26" s="923"/>
      <c r="K26" s="928">
        <v>12</v>
      </c>
      <c r="L26" s="928"/>
      <c r="M26" s="928"/>
      <c r="N26" s="923">
        <v>12</v>
      </c>
      <c r="O26" s="923"/>
      <c r="P26" s="923"/>
      <c r="Q26" s="923">
        <v>12</v>
      </c>
      <c r="R26" s="928"/>
      <c r="S26" s="928"/>
      <c r="T26" s="928">
        <v>12</v>
      </c>
      <c r="U26" s="928"/>
      <c r="V26" s="928"/>
      <c r="W26" s="923">
        <v>12</v>
      </c>
      <c r="X26" s="923"/>
      <c r="Y26" s="928"/>
      <c r="Z26" s="928">
        <v>12</v>
      </c>
      <c r="AA26" s="928"/>
      <c r="AB26" s="928"/>
      <c r="AC26" s="928">
        <v>12</v>
      </c>
      <c r="AD26" s="923"/>
      <c r="AE26" s="923"/>
      <c r="AF26" s="928">
        <v>12</v>
      </c>
      <c r="AG26" s="928"/>
      <c r="AH26" s="928"/>
      <c r="AI26" s="928">
        <v>12</v>
      </c>
      <c r="AJ26" s="928"/>
      <c r="AK26" s="923"/>
      <c r="AL26" s="923">
        <v>12</v>
      </c>
      <c r="AM26" s="928"/>
      <c r="AN26" s="220">
        <v>120</v>
      </c>
    </row>
    <row r="27" spans="1:40" s="929" customFormat="1" ht="22.5" customHeight="1" x14ac:dyDescent="0.3">
      <c r="A27" s="213" t="s">
        <v>107</v>
      </c>
      <c r="B27" s="930" t="s">
        <v>60</v>
      </c>
      <c r="C27" s="930" t="s">
        <v>108</v>
      </c>
      <c r="D27" s="931" t="s">
        <v>109</v>
      </c>
      <c r="E27" s="932" t="s">
        <v>31</v>
      </c>
      <c r="F27" s="921">
        <v>0.3125</v>
      </c>
      <c r="G27" s="921">
        <v>0.8125</v>
      </c>
      <c r="H27" s="933">
        <v>70498691</v>
      </c>
      <c r="I27" s="923">
        <v>12</v>
      </c>
      <c r="J27" s="923">
        <v>12</v>
      </c>
      <c r="K27" s="928"/>
      <c r="L27" s="928"/>
      <c r="M27" s="928"/>
      <c r="N27" s="923">
        <v>12</v>
      </c>
      <c r="O27" s="923">
        <v>12</v>
      </c>
      <c r="P27" s="923">
        <v>12</v>
      </c>
      <c r="Q27" s="923">
        <v>12</v>
      </c>
      <c r="R27" s="928"/>
      <c r="S27" s="440"/>
      <c r="T27" s="945"/>
      <c r="U27" s="928"/>
      <c r="V27" s="928"/>
      <c r="W27" s="923">
        <v>12</v>
      </c>
      <c r="X27" s="923">
        <v>12</v>
      </c>
      <c r="Y27" s="928"/>
      <c r="Z27" s="440"/>
      <c r="AA27" s="945"/>
      <c r="AB27" s="928"/>
      <c r="AC27" s="945"/>
      <c r="AD27" s="923">
        <v>12</v>
      </c>
      <c r="AE27" s="923">
        <v>12</v>
      </c>
      <c r="AF27" s="928"/>
      <c r="AG27" s="440"/>
      <c r="AH27" s="928"/>
      <c r="AI27" s="928"/>
      <c r="AJ27" s="928"/>
      <c r="AK27" s="923">
        <v>12</v>
      </c>
      <c r="AL27" s="923">
        <v>12</v>
      </c>
      <c r="AM27" s="928"/>
      <c r="AN27" s="220">
        <v>144</v>
      </c>
    </row>
    <row r="28" spans="1:40" s="929" customFormat="1" ht="29.25" customHeight="1" x14ac:dyDescent="0.3">
      <c r="A28" s="219" t="s">
        <v>110</v>
      </c>
      <c r="B28" s="940" t="s">
        <v>111</v>
      </c>
      <c r="C28" s="940" t="s">
        <v>112</v>
      </c>
      <c r="D28" s="941" t="s">
        <v>113</v>
      </c>
      <c r="E28" s="920" t="s">
        <v>31</v>
      </c>
      <c r="F28" s="921">
        <v>0.3125</v>
      </c>
      <c r="G28" s="921">
        <v>0.8125</v>
      </c>
      <c r="H28" s="922">
        <v>67891087</v>
      </c>
      <c r="I28" s="923">
        <v>12</v>
      </c>
      <c r="J28" s="923">
        <v>12</v>
      </c>
      <c r="K28" s="928"/>
      <c r="L28" s="928"/>
      <c r="M28" s="928"/>
      <c r="N28" s="923">
        <v>12</v>
      </c>
      <c r="O28" s="923">
        <v>12</v>
      </c>
      <c r="P28" s="923">
        <v>12</v>
      </c>
      <c r="Q28" s="923">
        <v>12</v>
      </c>
      <c r="R28" s="928"/>
      <c r="S28" s="440"/>
      <c r="T28" s="440"/>
      <c r="U28" s="928"/>
      <c r="V28" s="928"/>
      <c r="W28" s="923">
        <v>12</v>
      </c>
      <c r="X28" s="923">
        <v>12</v>
      </c>
      <c r="Y28" s="928"/>
      <c r="Z28" s="440"/>
      <c r="AA28" s="440"/>
      <c r="AB28" s="928"/>
      <c r="AC28" s="928"/>
      <c r="AD28" s="923">
        <v>12</v>
      </c>
      <c r="AE28" s="923">
        <v>12</v>
      </c>
      <c r="AF28" s="928"/>
      <c r="AG28" s="945"/>
      <c r="AH28" s="928"/>
      <c r="AI28" s="928"/>
      <c r="AJ28" s="928"/>
      <c r="AK28" s="923">
        <v>12</v>
      </c>
      <c r="AL28" s="923">
        <v>12</v>
      </c>
      <c r="AM28" s="928"/>
      <c r="AN28" s="220">
        <v>144</v>
      </c>
    </row>
    <row r="29" spans="1:40" s="929" customFormat="1" ht="17.25" customHeight="1" x14ac:dyDescent="0.3">
      <c r="A29" s="213" t="s">
        <v>114</v>
      </c>
      <c r="B29" s="919" t="s">
        <v>115</v>
      </c>
      <c r="C29" s="919" t="s">
        <v>67</v>
      </c>
      <c r="D29" s="920" t="s">
        <v>116</v>
      </c>
      <c r="E29" s="920" t="s">
        <v>41</v>
      </c>
      <c r="F29" s="921">
        <v>0.3125</v>
      </c>
      <c r="G29" s="921">
        <v>0.8125</v>
      </c>
      <c r="H29" s="933">
        <v>79004547</v>
      </c>
      <c r="I29" s="923">
        <v>12</v>
      </c>
      <c r="J29" s="923">
        <v>12</v>
      </c>
      <c r="K29" s="928"/>
      <c r="L29" s="928"/>
      <c r="M29" s="928"/>
      <c r="N29" s="923">
        <v>12</v>
      </c>
      <c r="O29" s="923">
        <v>12</v>
      </c>
      <c r="P29" s="923">
        <v>12</v>
      </c>
      <c r="Q29" s="923">
        <v>12</v>
      </c>
      <c r="R29" s="928">
        <v>12</v>
      </c>
      <c r="S29" s="945"/>
      <c r="T29" s="440"/>
      <c r="U29" s="928"/>
      <c r="V29" s="928"/>
      <c r="W29" s="923">
        <v>12</v>
      </c>
      <c r="X29" s="923">
        <v>12</v>
      </c>
      <c r="Y29" s="928"/>
      <c r="Z29" s="440"/>
      <c r="AA29" s="945"/>
      <c r="AB29" s="928"/>
      <c r="AC29" s="928"/>
      <c r="AD29" s="923">
        <v>12</v>
      </c>
      <c r="AE29" s="923">
        <v>12</v>
      </c>
      <c r="AF29" s="928"/>
      <c r="AG29" s="928"/>
      <c r="AH29" s="928"/>
      <c r="AI29" s="928"/>
      <c r="AJ29" s="928"/>
      <c r="AK29" s="923">
        <v>12</v>
      </c>
      <c r="AL29" s="923"/>
      <c r="AM29" s="928"/>
      <c r="AN29" s="220">
        <v>144</v>
      </c>
    </row>
    <row r="30" spans="1:40" ht="17.25" customHeight="1" x14ac:dyDescent="0.25">
      <c r="A30" s="222"/>
      <c r="B30" s="217"/>
      <c r="C30" s="223"/>
      <c r="D30" s="224"/>
      <c r="E30" s="224"/>
      <c r="F30" s="225"/>
      <c r="G30" s="218"/>
      <c r="H30" s="226"/>
      <c r="I30" s="214"/>
      <c r="J30" s="214"/>
      <c r="K30" s="215"/>
      <c r="L30" s="215"/>
      <c r="M30" s="215"/>
      <c r="N30" s="214"/>
      <c r="O30" s="214"/>
      <c r="P30" s="214"/>
      <c r="Q30" s="214"/>
      <c r="R30" s="215"/>
      <c r="S30" s="227"/>
      <c r="T30" s="227"/>
      <c r="U30" s="215"/>
      <c r="V30" s="215"/>
      <c r="W30" s="214"/>
      <c r="X30" s="214"/>
      <c r="Y30" s="215"/>
      <c r="Z30" s="227"/>
      <c r="AA30" s="227"/>
      <c r="AB30" s="215"/>
      <c r="AC30" s="215"/>
      <c r="AD30" s="214"/>
      <c r="AE30" s="214"/>
      <c r="AF30" s="215"/>
      <c r="AG30" s="215"/>
      <c r="AH30" s="215"/>
      <c r="AI30" s="215"/>
      <c r="AJ30" s="215"/>
      <c r="AK30" s="214"/>
      <c r="AL30" s="214"/>
      <c r="AM30" s="215"/>
      <c r="AN30" s="216"/>
    </row>
    <row r="31" spans="1:40" x14ac:dyDescent="0.25">
      <c r="X31" s="230"/>
      <c r="Y31" s="230"/>
      <c r="AB31" s="199" t="s">
        <v>117</v>
      </c>
    </row>
    <row r="32" spans="1:40" x14ac:dyDescent="0.25">
      <c r="A32" s="231" t="s">
        <v>118</v>
      </c>
      <c r="X32" s="230"/>
      <c r="Y32" s="230"/>
    </row>
    <row r="33" spans="1:18" x14ac:dyDescent="0.25">
      <c r="A33" s="228" t="s">
        <v>1146</v>
      </c>
      <c r="I33" s="230"/>
    </row>
    <row r="34" spans="1:18" x14ac:dyDescent="0.25">
      <c r="A34" s="199" t="s">
        <v>1147</v>
      </c>
      <c r="I34" s="230"/>
    </row>
    <row r="35" spans="1:18" x14ac:dyDescent="0.25">
      <c r="I35" s="230"/>
    </row>
    <row r="36" spans="1:18" x14ac:dyDescent="0.25">
      <c r="A36" s="199" t="s">
        <v>1148</v>
      </c>
      <c r="I36" s="230"/>
    </row>
    <row r="37" spans="1:18" x14ac:dyDescent="0.25">
      <c r="A37" s="231"/>
      <c r="I37" s="230"/>
    </row>
    <row r="38" spans="1:18" x14ac:dyDescent="0.25">
      <c r="A38" s="199" t="s">
        <v>1149</v>
      </c>
      <c r="B38" s="232"/>
      <c r="C38" s="233"/>
      <c r="D38" s="234"/>
      <c r="E38" s="234"/>
      <c r="F38" s="234"/>
      <c r="G38" s="234"/>
    </row>
    <row r="39" spans="1:18" x14ac:dyDescent="0.25">
      <c r="I39" s="234"/>
    </row>
    <row r="40" spans="1:18" x14ac:dyDescent="0.25">
      <c r="A40" s="231" t="s">
        <v>119</v>
      </c>
      <c r="I40" s="230"/>
    </row>
    <row r="41" spans="1:18" x14ac:dyDescent="0.25">
      <c r="A41" s="993"/>
      <c r="B41" s="994"/>
      <c r="C41" s="994"/>
      <c r="D41" s="994"/>
      <c r="E41" s="994"/>
      <c r="F41" s="994"/>
      <c r="G41" s="994"/>
      <c r="H41" s="994"/>
      <c r="I41" s="994"/>
      <c r="J41" s="993"/>
      <c r="K41" s="994"/>
      <c r="L41" s="994"/>
      <c r="M41" s="994"/>
      <c r="N41" s="994"/>
      <c r="O41" s="994"/>
      <c r="P41" s="994"/>
      <c r="Q41" s="994"/>
      <c r="R41" s="994"/>
    </row>
    <row r="42" spans="1:18" x14ac:dyDescent="0.25">
      <c r="I42" s="235"/>
    </row>
    <row r="43" spans="1:18" x14ac:dyDescent="0.25">
      <c r="A43" s="231" t="s">
        <v>1150</v>
      </c>
      <c r="I43" s="235"/>
    </row>
    <row r="44" spans="1:18" x14ac:dyDescent="0.25">
      <c r="I44" s="235"/>
    </row>
    <row r="45" spans="1:18" x14ac:dyDescent="0.25">
      <c r="A45" s="978" t="s">
        <v>120</v>
      </c>
      <c r="B45" s="978"/>
      <c r="C45" s="978"/>
      <c r="D45" s="236"/>
      <c r="E45" s="236"/>
      <c r="F45" s="237"/>
      <c r="G45" s="237"/>
      <c r="H45" s="238"/>
      <c r="I45" s="235"/>
    </row>
    <row r="46" spans="1:18" x14ac:dyDescent="0.25">
      <c r="A46" s="199" t="s">
        <v>1151</v>
      </c>
    </row>
    <row r="47" spans="1:18" x14ac:dyDescent="0.25">
      <c r="A47" s="199" t="s">
        <v>1152</v>
      </c>
      <c r="I47" s="235"/>
    </row>
    <row r="48" spans="1:18" x14ac:dyDescent="0.25">
      <c r="I48" s="235"/>
    </row>
    <row r="49" spans="9:9" x14ac:dyDescent="0.25">
      <c r="I49" s="235"/>
    </row>
  </sheetData>
  <mergeCells count="18">
    <mergeCell ref="H4:H5"/>
    <mergeCell ref="AN4:AN5"/>
    <mergeCell ref="Z12:AM12"/>
    <mergeCell ref="A41:I41"/>
    <mergeCell ref="J41:R41"/>
    <mergeCell ref="E4:E5"/>
    <mergeCell ref="F4:G4"/>
    <mergeCell ref="A45:C45"/>
    <mergeCell ref="A4:A5"/>
    <mergeCell ref="B4:B5"/>
    <mergeCell ref="C4:C5"/>
    <mergeCell ref="D4:D5"/>
    <mergeCell ref="A1:B1"/>
    <mergeCell ref="J1:V1"/>
    <mergeCell ref="A2:B3"/>
    <mergeCell ref="C2:G3"/>
    <mergeCell ref="M2:Q2"/>
    <mergeCell ref="J3: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"/>
  <sheetViews>
    <sheetView tabSelected="1" zoomScale="80" zoomScaleNormal="80" workbookViewId="0">
      <selection activeCell="B12" sqref="B12"/>
    </sheetView>
  </sheetViews>
  <sheetFormatPr baseColWidth="10" defaultRowHeight="14.4" x14ac:dyDescent="0.3"/>
  <cols>
    <col min="5" max="5" width="16.109375" customWidth="1"/>
    <col min="6" max="6" width="10.44140625" customWidth="1"/>
    <col min="7" max="7" width="8.88671875" customWidth="1"/>
    <col min="8" max="8" width="11.44140625" style="630"/>
    <col min="9" max="10" width="2" bestFit="1" customWidth="1"/>
    <col min="11" max="11" width="2.6640625" customWidth="1"/>
    <col min="12" max="13" width="2.33203125" bestFit="1" customWidth="1"/>
    <col min="14" max="17" width="2" bestFit="1" customWidth="1"/>
    <col min="18" max="39" width="3.44140625" bestFit="1" customWidth="1"/>
  </cols>
  <sheetData>
    <row r="1" spans="1:40" ht="15" thickBot="1" x14ac:dyDescent="0.35">
      <c r="A1" s="7"/>
      <c r="B1" s="7"/>
      <c r="C1" s="7"/>
      <c r="D1" s="7"/>
      <c r="E1" s="7"/>
      <c r="F1" s="7"/>
      <c r="G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44"/>
      <c r="AC1" s="44"/>
      <c r="AD1" s="44"/>
      <c r="AE1" s="44"/>
      <c r="AF1" s="8"/>
      <c r="AG1" s="8"/>
      <c r="AH1" s="8"/>
      <c r="AI1" s="8"/>
      <c r="AJ1" s="8"/>
      <c r="AK1" s="8"/>
      <c r="AL1" s="8"/>
      <c r="AM1" s="8"/>
      <c r="AN1" s="28"/>
    </row>
    <row r="2" spans="1:40" ht="21.6" thickBot="1" x14ac:dyDescent="0.55000000000000004">
      <c r="A2" s="17" t="s">
        <v>121</v>
      </c>
      <c r="B2" s="18" t="s">
        <v>122</v>
      </c>
      <c r="C2" s="19"/>
      <c r="D2" s="19"/>
      <c r="E2" s="47"/>
      <c r="F2" s="8"/>
      <c r="G2" s="21"/>
      <c r="H2" s="915"/>
      <c r="I2" s="26"/>
      <c r="J2" s="26"/>
      <c r="K2" s="26" t="s">
        <v>4</v>
      </c>
      <c r="L2" s="26"/>
      <c r="M2" s="26"/>
      <c r="N2" s="26"/>
      <c r="O2" s="26"/>
      <c r="P2" s="26"/>
      <c r="Q2" s="26"/>
      <c r="R2" s="26"/>
      <c r="S2" s="26"/>
      <c r="T2" s="22"/>
      <c r="U2" s="22"/>
      <c r="V2" s="23"/>
      <c r="W2" s="23"/>
      <c r="X2" s="24"/>
      <c r="Y2" s="24"/>
      <c r="Z2" s="24"/>
      <c r="AA2" s="24"/>
      <c r="AB2" s="24"/>
      <c r="AC2" s="24"/>
      <c r="AD2" s="24"/>
      <c r="AE2" s="25"/>
      <c r="AF2" s="8"/>
      <c r="AG2" s="8"/>
      <c r="AH2" s="8"/>
      <c r="AI2" s="8"/>
      <c r="AJ2" s="8"/>
      <c r="AK2" s="8"/>
      <c r="AL2" s="8"/>
      <c r="AM2" s="8"/>
      <c r="AN2" s="28"/>
    </row>
    <row r="3" spans="1:40" ht="24" thickBot="1" x14ac:dyDescent="0.55000000000000004">
      <c r="A3" s="1000" t="s">
        <v>123</v>
      </c>
      <c r="B3" s="1001"/>
      <c r="C3" s="1001"/>
      <c r="D3" s="20" t="s">
        <v>124</v>
      </c>
      <c r="E3" s="45"/>
      <c r="F3" s="15"/>
      <c r="G3" s="1002" t="s">
        <v>125</v>
      </c>
      <c r="H3" s="1003"/>
      <c r="I3" s="1003"/>
      <c r="J3" s="1003"/>
      <c r="K3" s="1003"/>
      <c r="L3" s="1003"/>
      <c r="M3" s="1003"/>
      <c r="N3" s="1003"/>
      <c r="O3" s="1003"/>
      <c r="P3" s="1003"/>
      <c r="Q3" s="1003"/>
      <c r="R3" s="1003"/>
      <c r="S3" s="1003"/>
      <c r="T3" s="1003"/>
      <c r="U3" s="1003"/>
      <c r="V3" s="1003"/>
      <c r="W3" s="1003"/>
      <c r="X3" s="1003"/>
      <c r="Y3" s="1003"/>
      <c r="Z3" s="1003"/>
      <c r="AA3" s="1003"/>
      <c r="AB3" s="1003"/>
      <c r="AC3" s="1003"/>
      <c r="AD3" s="1003"/>
      <c r="AE3" s="1004"/>
      <c r="AF3" s="9"/>
      <c r="AG3" s="9"/>
      <c r="AH3" s="9"/>
      <c r="AI3" s="9"/>
      <c r="AJ3" s="9"/>
      <c r="AK3" s="9"/>
      <c r="AL3" s="9"/>
      <c r="AM3" s="9"/>
      <c r="AN3" s="29"/>
    </row>
    <row r="4" spans="1:40" ht="21.6" thickBot="1" x14ac:dyDescent="0.55000000000000004">
      <c r="A4" s="35"/>
      <c r="B4" s="36"/>
      <c r="C4" s="36"/>
      <c r="D4" s="37"/>
      <c r="E4" s="46"/>
      <c r="F4" s="38"/>
      <c r="G4" s="39"/>
      <c r="H4" s="916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9"/>
      <c r="AG4" s="9"/>
      <c r="AH4" s="9"/>
      <c r="AI4" s="9"/>
      <c r="AJ4" s="9"/>
      <c r="AK4" s="9"/>
      <c r="AL4" s="9"/>
      <c r="AM4" s="9"/>
      <c r="AN4" s="29"/>
    </row>
    <row r="5" spans="1:40" s="630" customFormat="1" x14ac:dyDescent="0.3">
      <c r="A5" s="1005" t="s">
        <v>126</v>
      </c>
      <c r="B5" s="1007" t="s">
        <v>7</v>
      </c>
      <c r="C5" s="1007" t="s">
        <v>8</v>
      </c>
      <c r="D5" s="1009" t="s">
        <v>9</v>
      </c>
      <c r="E5" s="1009" t="s">
        <v>10</v>
      </c>
      <c r="F5" s="1007" t="s">
        <v>128</v>
      </c>
      <c r="G5" s="1007" t="s">
        <v>129</v>
      </c>
      <c r="H5" s="1007" t="s">
        <v>130</v>
      </c>
      <c r="I5" s="10">
        <v>1</v>
      </c>
      <c r="J5" s="10">
        <v>2</v>
      </c>
      <c r="K5" s="10">
        <v>3</v>
      </c>
      <c r="L5" s="10">
        <v>4</v>
      </c>
      <c r="M5" s="10">
        <v>5</v>
      </c>
      <c r="N5" s="10">
        <v>6</v>
      </c>
      <c r="O5" s="10">
        <v>7</v>
      </c>
      <c r="P5" s="10">
        <v>8</v>
      </c>
      <c r="Q5" s="10">
        <v>9</v>
      </c>
      <c r="R5" s="10">
        <v>10</v>
      </c>
      <c r="S5" s="10">
        <v>11</v>
      </c>
      <c r="T5" s="10">
        <v>12</v>
      </c>
      <c r="U5" s="10">
        <v>13</v>
      </c>
      <c r="V5" s="10">
        <v>14</v>
      </c>
      <c r="W5" s="10">
        <v>15</v>
      </c>
      <c r="X5" s="10">
        <v>16</v>
      </c>
      <c r="Y5" s="10">
        <v>17</v>
      </c>
      <c r="Z5" s="10">
        <v>18</v>
      </c>
      <c r="AA5" s="10">
        <v>19</v>
      </c>
      <c r="AB5" s="10">
        <v>20</v>
      </c>
      <c r="AC5" s="10">
        <v>21</v>
      </c>
      <c r="AD5" s="10">
        <v>22</v>
      </c>
      <c r="AE5" s="10">
        <v>23</v>
      </c>
      <c r="AF5" s="10">
        <v>24</v>
      </c>
      <c r="AG5" s="10">
        <v>25</v>
      </c>
      <c r="AH5" s="10">
        <v>26</v>
      </c>
      <c r="AI5" s="10">
        <v>27</v>
      </c>
      <c r="AJ5" s="10">
        <v>28</v>
      </c>
      <c r="AK5" s="10">
        <v>29</v>
      </c>
      <c r="AL5" s="10">
        <v>30</v>
      </c>
      <c r="AM5" s="10">
        <v>31</v>
      </c>
      <c r="AN5" s="14" t="s">
        <v>131</v>
      </c>
    </row>
    <row r="6" spans="1:40" s="630" customFormat="1" ht="15" thickBot="1" x14ac:dyDescent="0.35">
      <c r="A6" s="1006"/>
      <c r="B6" s="1008"/>
      <c r="C6" s="1008"/>
      <c r="D6" s="1010"/>
      <c r="E6" s="1010"/>
      <c r="F6" s="1008"/>
      <c r="G6" s="1008"/>
      <c r="H6" s="1008"/>
      <c r="I6" s="11" t="s">
        <v>16</v>
      </c>
      <c r="J6" s="11" t="s">
        <v>17</v>
      </c>
      <c r="K6" s="11" t="s">
        <v>18</v>
      </c>
      <c r="L6" s="11" t="s">
        <v>19</v>
      </c>
      <c r="M6" s="11" t="s">
        <v>19</v>
      </c>
      <c r="N6" s="11" t="s">
        <v>20</v>
      </c>
      <c r="O6" s="11" t="s">
        <v>21</v>
      </c>
      <c r="P6" s="11" t="s">
        <v>16</v>
      </c>
      <c r="Q6" s="11" t="s">
        <v>17</v>
      </c>
      <c r="R6" s="11" t="s">
        <v>18</v>
      </c>
      <c r="S6" s="11" t="s">
        <v>19</v>
      </c>
      <c r="T6" s="11" t="s">
        <v>19</v>
      </c>
      <c r="U6" s="11" t="s">
        <v>20</v>
      </c>
      <c r="V6" s="11" t="s">
        <v>21</v>
      </c>
      <c r="W6" s="11" t="s">
        <v>16</v>
      </c>
      <c r="X6" s="11" t="s">
        <v>17</v>
      </c>
      <c r="Y6" s="11" t="s">
        <v>18</v>
      </c>
      <c r="Z6" s="11" t="s">
        <v>19</v>
      </c>
      <c r="AA6" s="11" t="s">
        <v>19</v>
      </c>
      <c r="AB6" s="11" t="s">
        <v>20</v>
      </c>
      <c r="AC6" s="11" t="s">
        <v>21</v>
      </c>
      <c r="AD6" s="11" t="s">
        <v>16</v>
      </c>
      <c r="AE6" s="11" t="s">
        <v>17</v>
      </c>
      <c r="AF6" s="11" t="s">
        <v>18</v>
      </c>
      <c r="AG6" s="11" t="s">
        <v>19</v>
      </c>
      <c r="AH6" s="11" t="s">
        <v>19</v>
      </c>
      <c r="AI6" s="11" t="s">
        <v>20</v>
      </c>
      <c r="AJ6" s="11" t="s">
        <v>21</v>
      </c>
      <c r="AK6" s="11" t="s">
        <v>16</v>
      </c>
      <c r="AL6" s="11" t="s">
        <v>17</v>
      </c>
      <c r="AM6" s="11" t="s">
        <v>18</v>
      </c>
      <c r="AN6" s="16" t="s">
        <v>132</v>
      </c>
    </row>
    <row r="7" spans="1:40" ht="15" thickBot="1" x14ac:dyDescent="0.35">
      <c r="A7" s="997" t="s">
        <v>133</v>
      </c>
      <c r="B7" s="998"/>
      <c r="C7" s="998"/>
      <c r="D7" s="998"/>
      <c r="E7" s="998"/>
      <c r="F7" s="998"/>
      <c r="G7" s="998"/>
      <c r="H7" s="998"/>
      <c r="I7" s="998"/>
      <c r="J7" s="998"/>
      <c r="K7" s="998"/>
      <c r="L7" s="998"/>
      <c r="M7" s="998"/>
      <c r="N7" s="998"/>
      <c r="O7" s="998"/>
      <c r="P7" s="998"/>
      <c r="Q7" s="998"/>
      <c r="R7" s="998"/>
      <c r="S7" s="998"/>
      <c r="T7" s="998"/>
      <c r="U7" s="998"/>
      <c r="V7" s="998"/>
      <c r="W7" s="998"/>
      <c r="X7" s="998"/>
      <c r="Y7" s="998"/>
      <c r="Z7" s="998"/>
      <c r="AA7" s="998"/>
      <c r="AB7" s="998"/>
      <c r="AC7" s="998"/>
      <c r="AD7" s="998"/>
      <c r="AE7" s="998"/>
      <c r="AF7" s="998"/>
      <c r="AG7" s="998"/>
      <c r="AH7" s="998"/>
      <c r="AI7" s="998"/>
      <c r="AJ7" s="998"/>
      <c r="AK7" s="998"/>
      <c r="AL7" s="998"/>
      <c r="AM7" s="998"/>
      <c r="AN7" s="999"/>
    </row>
    <row r="8" spans="1:40" ht="27" thickBot="1" x14ac:dyDescent="0.35">
      <c r="A8" s="32" t="s">
        <v>134</v>
      </c>
      <c r="B8" s="32" t="s">
        <v>135</v>
      </c>
      <c r="C8" s="32" t="s">
        <v>136</v>
      </c>
      <c r="D8" s="32" t="s">
        <v>137</v>
      </c>
      <c r="E8" s="239" t="s">
        <v>138</v>
      </c>
      <c r="F8" s="33" t="s">
        <v>139</v>
      </c>
      <c r="G8" s="33" t="s">
        <v>140</v>
      </c>
      <c r="H8" s="917" t="s">
        <v>141</v>
      </c>
      <c r="I8" s="50"/>
      <c r="J8" s="48"/>
      <c r="K8" s="49">
        <v>6</v>
      </c>
      <c r="L8" s="49">
        <v>6</v>
      </c>
      <c r="M8" s="49">
        <v>6</v>
      </c>
      <c r="N8" s="50" t="s">
        <v>142</v>
      </c>
      <c r="O8" s="48" t="s">
        <v>142</v>
      </c>
      <c r="P8" s="50"/>
      <c r="Q8" s="48"/>
      <c r="R8" s="49">
        <v>6</v>
      </c>
      <c r="S8" s="49">
        <v>6</v>
      </c>
      <c r="T8" s="49">
        <v>6</v>
      </c>
      <c r="U8" s="49">
        <v>6</v>
      </c>
      <c r="V8" s="49">
        <v>6</v>
      </c>
      <c r="W8" s="50"/>
      <c r="X8" s="48"/>
      <c r="Y8" s="49">
        <v>6</v>
      </c>
      <c r="Z8" s="49">
        <v>6</v>
      </c>
      <c r="AA8" s="49">
        <v>6</v>
      </c>
      <c r="AB8" s="49">
        <v>6</v>
      </c>
      <c r="AC8" s="49">
        <v>6</v>
      </c>
      <c r="AD8" s="50"/>
      <c r="AE8" s="48"/>
      <c r="AF8" s="34">
        <v>6</v>
      </c>
      <c r="AG8" s="49">
        <v>6</v>
      </c>
      <c r="AH8" s="49">
        <v>6</v>
      </c>
      <c r="AI8" s="49">
        <v>6</v>
      </c>
      <c r="AJ8" s="49">
        <v>6</v>
      </c>
      <c r="AK8" s="50"/>
      <c r="AL8" s="50"/>
      <c r="AM8" s="49">
        <v>6</v>
      </c>
      <c r="AN8" s="30">
        <v>114</v>
      </c>
    </row>
    <row r="9" spans="1:40" ht="27" thickBot="1" x14ac:dyDescent="0.35">
      <c r="A9" s="12" t="s">
        <v>143</v>
      </c>
      <c r="B9" s="12" t="s">
        <v>144</v>
      </c>
      <c r="C9" s="12" t="s">
        <v>145</v>
      </c>
      <c r="D9" s="12" t="s">
        <v>146</v>
      </c>
      <c r="E9" s="240" t="s">
        <v>147</v>
      </c>
      <c r="F9" s="27" t="s">
        <v>139</v>
      </c>
      <c r="G9" s="27" t="s">
        <v>140</v>
      </c>
      <c r="H9" s="918" t="s">
        <v>148</v>
      </c>
      <c r="I9" s="50"/>
      <c r="J9" s="48"/>
      <c r="K9" s="49">
        <v>6</v>
      </c>
      <c r="L9" s="49">
        <v>6</v>
      </c>
      <c r="M9" s="49">
        <v>6</v>
      </c>
      <c r="N9" s="50" t="s">
        <v>142</v>
      </c>
      <c r="O9" s="48" t="s">
        <v>142</v>
      </c>
      <c r="P9" s="50"/>
      <c r="Q9" s="48"/>
      <c r="R9" s="49">
        <v>6</v>
      </c>
      <c r="S9" s="49">
        <v>6</v>
      </c>
      <c r="T9" s="49">
        <v>6</v>
      </c>
      <c r="U9" s="49">
        <v>6</v>
      </c>
      <c r="V9" s="49">
        <v>6</v>
      </c>
      <c r="W9" s="50"/>
      <c r="X9" s="48"/>
      <c r="Y9" s="49">
        <v>6</v>
      </c>
      <c r="Z9" s="49">
        <v>6</v>
      </c>
      <c r="AA9" s="49">
        <v>6</v>
      </c>
      <c r="AB9" s="49">
        <v>6</v>
      </c>
      <c r="AC9" s="49">
        <v>6</v>
      </c>
      <c r="AD9" s="50"/>
      <c r="AE9" s="48"/>
      <c r="AF9" s="49">
        <v>6</v>
      </c>
      <c r="AG9" s="49">
        <v>6</v>
      </c>
      <c r="AH9" s="49">
        <v>6</v>
      </c>
      <c r="AI9" s="49">
        <v>6</v>
      </c>
      <c r="AJ9" s="49">
        <v>6</v>
      </c>
      <c r="AK9" s="50"/>
      <c r="AL9" s="50"/>
      <c r="AM9" s="49">
        <v>6</v>
      </c>
      <c r="AN9" s="30">
        <v>114</v>
      </c>
    </row>
    <row r="10" spans="1:40" ht="27" thickBot="1" x14ac:dyDescent="0.35">
      <c r="A10" s="12" t="s">
        <v>149</v>
      </c>
      <c r="B10" s="13" t="s">
        <v>150</v>
      </c>
      <c r="C10" s="13" t="s">
        <v>151</v>
      </c>
      <c r="D10" s="13" t="s">
        <v>152</v>
      </c>
      <c r="E10" s="240" t="s">
        <v>147</v>
      </c>
      <c r="F10" s="27">
        <v>0.29166666666666669</v>
      </c>
      <c r="G10" s="27" t="s">
        <v>140</v>
      </c>
      <c r="H10" s="918" t="s">
        <v>153</v>
      </c>
      <c r="I10" s="50"/>
      <c r="J10" s="48"/>
      <c r="K10" s="49">
        <v>6</v>
      </c>
      <c r="L10" s="49">
        <v>6</v>
      </c>
      <c r="M10" s="49">
        <v>6</v>
      </c>
      <c r="N10" s="50" t="s">
        <v>142</v>
      </c>
      <c r="O10" s="48" t="s">
        <v>142</v>
      </c>
      <c r="P10" s="50"/>
      <c r="Q10" s="48"/>
      <c r="R10" s="50" t="s">
        <v>21</v>
      </c>
      <c r="S10" s="50" t="s">
        <v>21</v>
      </c>
      <c r="T10" s="50" t="s">
        <v>21</v>
      </c>
      <c r="U10" s="50" t="s">
        <v>21</v>
      </c>
      <c r="V10" s="50" t="s">
        <v>21</v>
      </c>
      <c r="W10" s="50"/>
      <c r="X10" s="48"/>
      <c r="Y10" s="50" t="s">
        <v>21</v>
      </c>
      <c r="Z10" s="50" t="s">
        <v>21</v>
      </c>
      <c r="AA10" s="50" t="s">
        <v>21</v>
      </c>
      <c r="AB10" s="50" t="s">
        <v>21</v>
      </c>
      <c r="AC10" s="50" t="s">
        <v>21</v>
      </c>
      <c r="AD10" s="50"/>
      <c r="AE10" s="48"/>
      <c r="AF10" s="48" t="s">
        <v>21</v>
      </c>
      <c r="AG10" s="50" t="s">
        <v>21</v>
      </c>
      <c r="AH10" s="50" t="s">
        <v>21</v>
      </c>
      <c r="AI10" s="50" t="s">
        <v>21</v>
      </c>
      <c r="AJ10" s="50" t="s">
        <v>21</v>
      </c>
      <c r="AK10" s="50"/>
      <c r="AL10" s="50"/>
      <c r="AM10" s="49">
        <v>6</v>
      </c>
      <c r="AN10" s="30">
        <v>24</v>
      </c>
    </row>
    <row r="11" spans="1:40" ht="27" thickBot="1" x14ac:dyDescent="0.35">
      <c r="A11" s="12" t="s">
        <v>154</v>
      </c>
      <c r="B11" s="12" t="s">
        <v>155</v>
      </c>
      <c r="C11" s="12" t="s">
        <v>156</v>
      </c>
      <c r="D11" s="12" t="s">
        <v>157</v>
      </c>
      <c r="E11" s="240" t="s">
        <v>147</v>
      </c>
      <c r="F11" s="27" t="s">
        <v>139</v>
      </c>
      <c r="G11" s="27" t="s">
        <v>140</v>
      </c>
      <c r="H11" s="918" t="s">
        <v>158</v>
      </c>
      <c r="I11" s="50"/>
      <c r="J11" s="50"/>
      <c r="K11" s="49">
        <v>6</v>
      </c>
      <c r="L11" s="49">
        <v>6</v>
      </c>
      <c r="M11" s="49">
        <v>6</v>
      </c>
      <c r="N11" s="50" t="s">
        <v>142</v>
      </c>
      <c r="O11" s="50" t="s">
        <v>142</v>
      </c>
      <c r="P11" s="50"/>
      <c r="Q11" s="50"/>
      <c r="R11" s="49">
        <v>6</v>
      </c>
      <c r="S11" s="49">
        <v>6</v>
      </c>
      <c r="T11" s="49">
        <v>6</v>
      </c>
      <c r="U11" s="49">
        <v>6</v>
      </c>
      <c r="V11" s="49">
        <v>6</v>
      </c>
      <c r="W11" s="50"/>
      <c r="X11" s="50"/>
      <c r="Y11" s="49">
        <v>6</v>
      </c>
      <c r="Z11" s="49">
        <v>6</v>
      </c>
      <c r="AA11" s="49">
        <v>6</v>
      </c>
      <c r="AB11" s="49">
        <v>6</v>
      </c>
      <c r="AC11" s="49">
        <v>6</v>
      </c>
      <c r="AD11" s="50"/>
      <c r="AE11" s="50"/>
      <c r="AF11" s="34">
        <v>6</v>
      </c>
      <c r="AG11" s="49">
        <v>6</v>
      </c>
      <c r="AH11" s="49">
        <v>6</v>
      </c>
      <c r="AI11" s="49">
        <v>6</v>
      </c>
      <c r="AJ11" s="49">
        <v>6</v>
      </c>
      <c r="AK11" s="50"/>
      <c r="AL11" s="50"/>
      <c r="AM11" s="49">
        <v>6</v>
      </c>
      <c r="AN11" s="30">
        <v>114</v>
      </c>
    </row>
    <row r="12" spans="1:40" ht="27" thickBot="1" x14ac:dyDescent="0.35">
      <c r="A12" s="12" t="s">
        <v>159</v>
      </c>
      <c r="B12" s="12" t="s">
        <v>160</v>
      </c>
      <c r="C12" s="12" t="s">
        <v>161</v>
      </c>
      <c r="D12" s="12" t="s">
        <v>162</v>
      </c>
      <c r="E12" s="240" t="s">
        <v>147</v>
      </c>
      <c r="F12" s="27" t="s">
        <v>139</v>
      </c>
      <c r="G12" s="27" t="s">
        <v>140</v>
      </c>
      <c r="H12" s="918" t="s">
        <v>163</v>
      </c>
      <c r="I12" s="50"/>
      <c r="J12" s="50"/>
      <c r="K12" s="49">
        <v>6</v>
      </c>
      <c r="L12" s="49">
        <v>6</v>
      </c>
      <c r="M12" s="49">
        <v>6</v>
      </c>
      <c r="N12" s="50" t="s">
        <v>142</v>
      </c>
      <c r="O12" s="50" t="s">
        <v>142</v>
      </c>
      <c r="P12" s="50"/>
      <c r="Q12" s="50"/>
      <c r="R12" s="49">
        <v>6</v>
      </c>
      <c r="S12" s="49">
        <v>6</v>
      </c>
      <c r="T12" s="49">
        <v>6</v>
      </c>
      <c r="U12" s="49">
        <v>6</v>
      </c>
      <c r="V12" s="49">
        <v>6</v>
      </c>
      <c r="W12" s="50"/>
      <c r="X12" s="50"/>
      <c r="Y12" s="49">
        <v>6</v>
      </c>
      <c r="Z12" s="49">
        <v>6</v>
      </c>
      <c r="AA12" s="49">
        <v>6</v>
      </c>
      <c r="AB12" s="49">
        <v>6</v>
      </c>
      <c r="AC12" s="49">
        <v>6</v>
      </c>
      <c r="AD12" s="50"/>
      <c r="AE12" s="50"/>
      <c r="AF12" s="34">
        <v>6</v>
      </c>
      <c r="AG12" s="49">
        <v>6</v>
      </c>
      <c r="AH12" s="49">
        <v>6</v>
      </c>
      <c r="AI12" s="49">
        <v>6</v>
      </c>
      <c r="AJ12" s="49">
        <v>6</v>
      </c>
      <c r="AK12" s="50"/>
      <c r="AL12" s="50"/>
      <c r="AM12" s="49">
        <v>6</v>
      </c>
      <c r="AN12" s="30">
        <v>114</v>
      </c>
    </row>
    <row r="13" spans="1:40" ht="27" thickBot="1" x14ac:dyDescent="0.35">
      <c r="A13" s="12" t="s">
        <v>164</v>
      </c>
      <c r="B13" s="12" t="s">
        <v>165</v>
      </c>
      <c r="C13" s="12" t="s">
        <v>166</v>
      </c>
      <c r="D13" s="12" t="s">
        <v>167</v>
      </c>
      <c r="E13" s="240" t="s">
        <v>147</v>
      </c>
      <c r="F13" s="27" t="s">
        <v>139</v>
      </c>
      <c r="G13" s="27" t="s">
        <v>140</v>
      </c>
      <c r="H13" s="918" t="s">
        <v>168</v>
      </c>
      <c r="I13" s="50"/>
      <c r="J13" s="50"/>
      <c r="K13" s="49">
        <v>6</v>
      </c>
      <c r="L13" s="49">
        <v>6</v>
      </c>
      <c r="M13" s="49">
        <v>6</v>
      </c>
      <c r="N13" s="50" t="s">
        <v>142</v>
      </c>
      <c r="O13" s="50" t="s">
        <v>142</v>
      </c>
      <c r="P13" s="50"/>
      <c r="Q13" s="50"/>
      <c r="R13" s="49">
        <v>6</v>
      </c>
      <c r="S13" s="49">
        <v>6</v>
      </c>
      <c r="T13" s="49">
        <v>6</v>
      </c>
      <c r="U13" s="49">
        <v>6</v>
      </c>
      <c r="V13" s="49">
        <v>6</v>
      </c>
      <c r="W13" s="50"/>
      <c r="X13" s="50"/>
      <c r="Y13" s="49">
        <v>6</v>
      </c>
      <c r="Z13" s="49">
        <v>6</v>
      </c>
      <c r="AA13" s="49">
        <v>6</v>
      </c>
      <c r="AB13" s="49">
        <v>6</v>
      </c>
      <c r="AC13" s="49">
        <v>6</v>
      </c>
      <c r="AD13" s="50"/>
      <c r="AE13" s="50"/>
      <c r="AF13" s="34">
        <v>6</v>
      </c>
      <c r="AG13" s="49">
        <v>6</v>
      </c>
      <c r="AH13" s="49">
        <v>6</v>
      </c>
      <c r="AI13" s="49">
        <v>6</v>
      </c>
      <c r="AJ13" s="49">
        <v>6</v>
      </c>
      <c r="AK13" s="50"/>
      <c r="AL13" s="50"/>
      <c r="AM13" s="49">
        <v>6</v>
      </c>
      <c r="AN13" s="30">
        <v>114</v>
      </c>
    </row>
    <row r="14" spans="1:40" ht="27" thickBot="1" x14ac:dyDescent="0.35">
      <c r="A14" s="32" t="s">
        <v>169</v>
      </c>
      <c r="B14" s="32" t="s">
        <v>170</v>
      </c>
      <c r="C14" s="43" t="s">
        <v>145</v>
      </c>
      <c r="D14" s="32" t="s">
        <v>171</v>
      </c>
      <c r="E14" s="239" t="s">
        <v>138</v>
      </c>
      <c r="F14" s="33" t="s">
        <v>172</v>
      </c>
      <c r="G14" s="33" t="s">
        <v>173</v>
      </c>
      <c r="H14" s="917" t="s">
        <v>174</v>
      </c>
      <c r="I14" s="50"/>
      <c r="J14" s="50"/>
      <c r="K14" s="49">
        <v>6</v>
      </c>
      <c r="L14" s="49">
        <v>6</v>
      </c>
      <c r="M14" s="49">
        <v>6</v>
      </c>
      <c r="N14" s="50" t="s">
        <v>142</v>
      </c>
      <c r="O14" s="50" t="s">
        <v>142</v>
      </c>
      <c r="P14" s="50"/>
      <c r="Q14" s="50"/>
      <c r="R14" s="49">
        <v>6</v>
      </c>
      <c r="S14" s="49">
        <v>6</v>
      </c>
      <c r="T14" s="49">
        <v>6</v>
      </c>
      <c r="U14" s="49">
        <v>6</v>
      </c>
      <c r="V14" s="49">
        <v>6</v>
      </c>
      <c r="W14" s="50"/>
      <c r="X14" s="50"/>
      <c r="Y14" s="49">
        <v>6</v>
      </c>
      <c r="Z14" s="49">
        <v>6</v>
      </c>
      <c r="AA14" s="49">
        <v>6</v>
      </c>
      <c r="AB14" s="49">
        <v>6</v>
      </c>
      <c r="AC14" s="49">
        <v>6</v>
      </c>
      <c r="AD14" s="50"/>
      <c r="AE14" s="50"/>
      <c r="AF14" s="34">
        <v>6</v>
      </c>
      <c r="AG14" s="49">
        <v>6</v>
      </c>
      <c r="AH14" s="49">
        <v>6</v>
      </c>
      <c r="AI14" s="49">
        <v>6</v>
      </c>
      <c r="AJ14" s="49">
        <v>6</v>
      </c>
      <c r="AK14" s="50"/>
      <c r="AL14" s="50"/>
      <c r="AM14" s="49">
        <v>6</v>
      </c>
      <c r="AN14" s="30">
        <v>114</v>
      </c>
    </row>
    <row r="15" spans="1:40" ht="27" thickBot="1" x14ac:dyDescent="0.35">
      <c r="A15" s="12" t="s">
        <v>175</v>
      </c>
      <c r="B15" s="12" t="s">
        <v>176</v>
      </c>
      <c r="C15" s="13" t="s">
        <v>177</v>
      </c>
      <c r="D15" s="12" t="s">
        <v>178</v>
      </c>
      <c r="E15" s="240" t="s">
        <v>147</v>
      </c>
      <c r="F15" s="42" t="s">
        <v>140</v>
      </c>
      <c r="G15" s="27" t="s">
        <v>179</v>
      </c>
      <c r="H15" s="918" t="s">
        <v>180</v>
      </c>
      <c r="I15" s="50"/>
      <c r="J15" s="50"/>
      <c r="K15" s="49">
        <v>6</v>
      </c>
      <c r="L15" s="49">
        <v>6</v>
      </c>
      <c r="M15" s="49">
        <v>6</v>
      </c>
      <c r="N15" s="50" t="s">
        <v>142</v>
      </c>
      <c r="O15" s="50" t="s">
        <v>142</v>
      </c>
      <c r="P15" s="50"/>
      <c r="Q15" s="50"/>
      <c r="R15" s="49">
        <v>6</v>
      </c>
      <c r="S15" s="49">
        <v>6</v>
      </c>
      <c r="T15" s="49">
        <v>6</v>
      </c>
      <c r="U15" s="49">
        <v>6</v>
      </c>
      <c r="V15" s="49">
        <v>6</v>
      </c>
      <c r="W15" s="50"/>
      <c r="X15" s="50"/>
      <c r="Y15" s="49">
        <v>6</v>
      </c>
      <c r="Z15" s="49">
        <v>6</v>
      </c>
      <c r="AA15" s="49">
        <v>6</v>
      </c>
      <c r="AB15" s="49">
        <v>6</v>
      </c>
      <c r="AC15" s="49">
        <v>6</v>
      </c>
      <c r="AD15" s="50"/>
      <c r="AE15" s="50"/>
      <c r="AF15" s="34">
        <v>6</v>
      </c>
      <c r="AG15" s="49">
        <v>6</v>
      </c>
      <c r="AH15" s="49">
        <v>6</v>
      </c>
      <c r="AI15" s="49">
        <v>6</v>
      </c>
      <c r="AJ15" s="49">
        <v>6</v>
      </c>
      <c r="AK15" s="50"/>
      <c r="AL15" s="50"/>
      <c r="AM15" s="49">
        <v>6</v>
      </c>
      <c r="AN15" s="30">
        <v>114</v>
      </c>
    </row>
    <row r="16" spans="1:40" ht="27" thickBot="1" x14ac:dyDescent="0.35">
      <c r="A16" s="12" t="s">
        <v>181</v>
      </c>
      <c r="B16" s="12" t="s">
        <v>182</v>
      </c>
      <c r="C16" s="12" t="s">
        <v>183</v>
      </c>
      <c r="D16" s="12" t="s">
        <v>184</v>
      </c>
      <c r="E16" s="240" t="s">
        <v>147</v>
      </c>
      <c r="F16" s="42" t="s">
        <v>140</v>
      </c>
      <c r="G16" s="27" t="s">
        <v>179</v>
      </c>
      <c r="H16" s="918" t="s">
        <v>185</v>
      </c>
      <c r="I16" s="50"/>
      <c r="J16" s="50"/>
      <c r="K16" s="50" t="s">
        <v>21</v>
      </c>
      <c r="L16" s="50" t="s">
        <v>21</v>
      </c>
      <c r="M16" s="50" t="s">
        <v>21</v>
      </c>
      <c r="N16" s="50" t="s">
        <v>142</v>
      </c>
      <c r="O16" s="50" t="s">
        <v>142</v>
      </c>
      <c r="P16" s="50"/>
      <c r="Q16" s="50"/>
      <c r="R16" s="50" t="s">
        <v>21</v>
      </c>
      <c r="S16" s="50" t="s">
        <v>21</v>
      </c>
      <c r="T16" s="49">
        <v>6</v>
      </c>
      <c r="U16" s="49">
        <v>6</v>
      </c>
      <c r="V16" s="49">
        <v>6</v>
      </c>
      <c r="W16" s="50"/>
      <c r="X16" s="50"/>
      <c r="Y16" s="49">
        <v>6</v>
      </c>
      <c r="Z16" s="49">
        <v>6</v>
      </c>
      <c r="AA16" s="49">
        <v>6</v>
      </c>
      <c r="AB16" s="49">
        <v>6</v>
      </c>
      <c r="AC16" s="49">
        <v>6</v>
      </c>
      <c r="AD16" s="50"/>
      <c r="AE16" s="50"/>
      <c r="AF16" s="34">
        <v>6</v>
      </c>
      <c r="AG16" s="49">
        <v>6</v>
      </c>
      <c r="AH16" s="49">
        <v>6</v>
      </c>
      <c r="AI16" s="49">
        <v>6</v>
      </c>
      <c r="AJ16" s="49">
        <v>6</v>
      </c>
      <c r="AK16" s="50"/>
      <c r="AL16" s="50"/>
      <c r="AM16" s="49">
        <v>6</v>
      </c>
      <c r="AN16" s="30">
        <v>84</v>
      </c>
    </row>
    <row r="17" spans="1:40" ht="26.4" x14ac:dyDescent="0.3">
      <c r="A17" s="12">
        <v>12384404</v>
      </c>
      <c r="B17" s="12" t="s">
        <v>186</v>
      </c>
      <c r="C17" s="12" t="s">
        <v>187</v>
      </c>
      <c r="D17" s="12" t="s">
        <v>188</v>
      </c>
      <c r="E17" s="240" t="s">
        <v>147</v>
      </c>
      <c r="F17" s="42" t="s">
        <v>140</v>
      </c>
      <c r="G17" s="27" t="s">
        <v>179</v>
      </c>
      <c r="H17" s="918" t="s">
        <v>189</v>
      </c>
      <c r="I17" s="50"/>
      <c r="J17" s="50"/>
      <c r="K17" s="49">
        <v>6</v>
      </c>
      <c r="L17" s="49">
        <v>6</v>
      </c>
      <c r="M17" s="49">
        <v>6</v>
      </c>
      <c r="N17" s="50" t="s">
        <v>142</v>
      </c>
      <c r="O17" s="50" t="s">
        <v>142</v>
      </c>
      <c r="P17" s="50"/>
      <c r="Q17" s="50"/>
      <c r="R17" s="49">
        <v>6</v>
      </c>
      <c r="S17" s="49">
        <v>6</v>
      </c>
      <c r="T17" s="49">
        <v>6</v>
      </c>
      <c r="U17" s="49">
        <v>6</v>
      </c>
      <c r="V17" s="49">
        <v>6</v>
      </c>
      <c r="W17" s="50"/>
      <c r="X17" s="50"/>
      <c r="Y17" s="49">
        <v>6</v>
      </c>
      <c r="Z17" s="49">
        <v>6</v>
      </c>
      <c r="AA17" s="49">
        <v>6</v>
      </c>
      <c r="AB17" s="49">
        <v>6</v>
      </c>
      <c r="AC17" s="49">
        <v>6</v>
      </c>
      <c r="AD17" s="50"/>
      <c r="AE17" s="50"/>
      <c r="AF17" s="34">
        <v>6</v>
      </c>
      <c r="AG17" s="49">
        <v>6</v>
      </c>
      <c r="AH17" s="49">
        <v>6</v>
      </c>
      <c r="AI17" s="49">
        <v>6</v>
      </c>
      <c r="AJ17" s="49">
        <v>6</v>
      </c>
      <c r="AK17" s="50"/>
      <c r="AL17" s="50"/>
      <c r="AM17" s="49">
        <v>6</v>
      </c>
      <c r="AN17" s="30">
        <v>114</v>
      </c>
    </row>
    <row r="18" spans="1:40" x14ac:dyDescent="0.3">
      <c r="A18" s="40" t="s">
        <v>190</v>
      </c>
      <c r="B18" s="7"/>
      <c r="C18" s="7"/>
      <c r="D18" s="7"/>
      <c r="E18" s="7"/>
      <c r="F18" s="7"/>
      <c r="G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x14ac:dyDescent="0.3">
      <c r="A19" s="41"/>
      <c r="B19" s="40" t="s">
        <v>191</v>
      </c>
      <c r="C19" s="7"/>
      <c r="D19" s="7"/>
      <c r="E19" s="7"/>
      <c r="F19" s="7"/>
      <c r="G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x14ac:dyDescent="0.3">
      <c r="A20" s="7"/>
      <c r="B20" s="7"/>
      <c r="C20" s="7"/>
      <c r="D20" s="7"/>
      <c r="E20" s="7"/>
      <c r="F20" s="7"/>
      <c r="G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31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x14ac:dyDescent="0.3">
      <c r="A21" s="7"/>
      <c r="B21" s="7"/>
      <c r="C21" s="7"/>
      <c r="D21" s="7"/>
      <c r="E21" s="7"/>
      <c r="F21" s="7"/>
      <c r="G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31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3">
      <c r="A22" s="7"/>
      <c r="B22" s="7"/>
      <c r="C22" s="7"/>
      <c r="D22" s="7"/>
      <c r="E22" s="7"/>
      <c r="F22" s="7"/>
      <c r="G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31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x14ac:dyDescent="0.3">
      <c r="A23" s="7"/>
      <c r="B23" s="7"/>
      <c r="C23" s="7"/>
      <c r="D23" s="7"/>
      <c r="E23" s="7"/>
      <c r="F23" s="7"/>
      <c r="G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31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5" spans="1:40" x14ac:dyDescent="0.3">
      <c r="A25" s="41"/>
      <c r="B25" s="7"/>
      <c r="C25" s="7"/>
      <c r="D25" s="7"/>
      <c r="E25" s="7"/>
      <c r="F25" s="7"/>
      <c r="G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</sheetData>
  <mergeCells count="11">
    <mergeCell ref="A7:AN7"/>
    <mergeCell ref="A3:C3"/>
    <mergeCell ref="G3:AE3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2"/>
  <sheetViews>
    <sheetView topLeftCell="C1" workbookViewId="0">
      <selection activeCell="F15" sqref="F15"/>
    </sheetView>
  </sheetViews>
  <sheetFormatPr baseColWidth="10" defaultColWidth="11.44140625" defaultRowHeight="13.8" x14ac:dyDescent="0.3"/>
  <cols>
    <col min="1" max="6" width="11.44140625" style="4"/>
    <col min="7" max="7" width="10.88671875" style="4" customWidth="1"/>
    <col min="8" max="8" width="11.44140625" style="4"/>
    <col min="9" max="10" width="3" style="320" bestFit="1" customWidth="1"/>
    <col min="11" max="12" width="3.6640625" style="320" customWidth="1"/>
    <col min="13" max="39" width="3" style="320" bestFit="1" customWidth="1"/>
    <col min="40" max="40" width="5.33203125" style="4" customWidth="1"/>
    <col min="41" max="16384" width="11.44140625" style="4"/>
  </cols>
  <sheetData>
    <row r="1" spans="1:41" ht="14.4" thickBot="1" x14ac:dyDescent="0.35">
      <c r="A1" s="1014" t="s">
        <v>192</v>
      </c>
      <c r="B1" s="1015"/>
      <c r="C1" s="1015"/>
      <c r="D1" s="241"/>
      <c r="E1" s="242"/>
      <c r="F1" s="243"/>
      <c r="G1" s="244"/>
      <c r="H1" s="245"/>
      <c r="I1" s="315"/>
      <c r="J1" s="315"/>
      <c r="K1" s="315" t="s">
        <v>4</v>
      </c>
      <c r="L1" s="315"/>
      <c r="M1" s="315"/>
      <c r="N1" s="315"/>
      <c r="O1" s="315"/>
      <c r="P1" s="315"/>
      <c r="Q1" s="315"/>
      <c r="R1" s="315"/>
      <c r="S1" s="315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7"/>
      <c r="AF1" s="318"/>
      <c r="AG1" s="319"/>
      <c r="AH1" s="319"/>
      <c r="AI1" s="319"/>
      <c r="AJ1" s="319"/>
      <c r="AK1" s="319"/>
    </row>
    <row r="2" spans="1:41" ht="14.4" thickBot="1" x14ac:dyDescent="0.35">
      <c r="D2" s="243"/>
      <c r="E2" s="242"/>
      <c r="F2" s="242"/>
      <c r="G2" s="247" t="s">
        <v>193</v>
      </c>
      <c r="H2" s="248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2"/>
      <c r="AG2" s="319"/>
      <c r="AH2" s="319"/>
      <c r="AI2" s="319"/>
      <c r="AJ2" s="319"/>
      <c r="AK2" s="319"/>
    </row>
    <row r="3" spans="1:41" ht="14.4" thickBot="1" x14ac:dyDescent="0.35">
      <c r="A3" s="1016"/>
      <c r="B3" s="1017"/>
      <c r="C3" s="1017"/>
      <c r="D3" s="241"/>
      <c r="E3" s="249"/>
      <c r="F3" s="243"/>
      <c r="G3" s="244"/>
      <c r="H3" s="246"/>
      <c r="I3" s="315"/>
      <c r="J3" s="315"/>
      <c r="K3" s="315"/>
      <c r="L3" s="315" t="s">
        <v>4</v>
      </c>
      <c r="M3" s="315"/>
      <c r="N3" s="315"/>
      <c r="O3" s="315"/>
      <c r="P3" s="315"/>
      <c r="Q3" s="315"/>
      <c r="R3" s="315"/>
      <c r="S3" s="315"/>
      <c r="T3" s="315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7"/>
      <c r="AG3" s="319"/>
      <c r="AH3" s="319"/>
      <c r="AI3" s="319"/>
      <c r="AJ3" s="319"/>
      <c r="AK3" s="319"/>
    </row>
    <row r="4" spans="1:41" x14ac:dyDescent="0.3">
      <c r="A4" s="1018" t="s">
        <v>194</v>
      </c>
      <c r="B4" s="1019"/>
      <c r="C4" s="1019"/>
      <c r="D4" s="250" t="s">
        <v>195</v>
      </c>
      <c r="E4" s="251"/>
      <c r="F4" s="252"/>
      <c r="G4" s="1020" t="s">
        <v>196</v>
      </c>
      <c r="H4" s="1021"/>
      <c r="I4" s="1021"/>
      <c r="J4" s="1021"/>
      <c r="K4" s="1021"/>
      <c r="L4" s="1021"/>
      <c r="M4" s="1021"/>
      <c r="N4" s="1021"/>
      <c r="O4" s="1021"/>
      <c r="P4" s="1021"/>
      <c r="Q4" s="1021"/>
      <c r="R4" s="1021"/>
      <c r="S4" s="1021"/>
      <c r="T4" s="1021"/>
      <c r="U4" s="1021"/>
      <c r="V4" s="1021"/>
      <c r="W4" s="1021"/>
      <c r="X4" s="1021"/>
      <c r="Y4" s="1021"/>
      <c r="Z4" s="1021"/>
      <c r="AA4" s="1021"/>
      <c r="AB4" s="1021"/>
      <c r="AC4" s="1021"/>
      <c r="AD4" s="1021"/>
      <c r="AE4" s="1021"/>
      <c r="AF4" s="1022"/>
      <c r="AG4" s="323"/>
      <c r="AH4" s="323"/>
      <c r="AI4" s="323"/>
      <c r="AJ4" s="323"/>
      <c r="AK4" s="323"/>
    </row>
    <row r="5" spans="1:41" ht="27.6" x14ac:dyDescent="0.3">
      <c r="A5" s="253" t="s">
        <v>126</v>
      </c>
      <c r="B5" s="254" t="s">
        <v>127</v>
      </c>
      <c r="C5" s="254" t="s">
        <v>8</v>
      </c>
      <c r="D5" s="255" t="s">
        <v>9</v>
      </c>
      <c r="E5" s="256" t="s">
        <v>10</v>
      </c>
      <c r="F5" s="254" t="s">
        <v>128</v>
      </c>
      <c r="G5" s="254" t="s">
        <v>129</v>
      </c>
      <c r="H5" s="254" t="s">
        <v>197</v>
      </c>
      <c r="I5" s="257">
        <v>1</v>
      </c>
      <c r="J5" s="258">
        <v>2</v>
      </c>
      <c r="K5" s="258">
        <v>3</v>
      </c>
      <c r="L5" s="257">
        <v>4</v>
      </c>
      <c r="M5" s="258">
        <v>5</v>
      </c>
      <c r="N5" s="258">
        <v>6</v>
      </c>
      <c r="O5" s="258">
        <v>7</v>
      </c>
      <c r="P5" s="257">
        <v>8</v>
      </c>
      <c r="Q5" s="257">
        <v>9</v>
      </c>
      <c r="R5" s="257">
        <v>10</v>
      </c>
      <c r="S5" s="257">
        <v>11</v>
      </c>
      <c r="T5" s="257">
        <v>12</v>
      </c>
      <c r="U5" s="257">
        <v>13</v>
      </c>
      <c r="V5" s="257">
        <v>14</v>
      </c>
      <c r="W5" s="257">
        <v>15</v>
      </c>
      <c r="X5" s="257">
        <v>16</v>
      </c>
      <c r="Y5" s="257">
        <v>17</v>
      </c>
      <c r="Z5" s="257">
        <v>18</v>
      </c>
      <c r="AA5" s="257">
        <v>19</v>
      </c>
      <c r="AB5" s="257">
        <v>20</v>
      </c>
      <c r="AC5" s="257">
        <v>21</v>
      </c>
      <c r="AD5" s="257">
        <v>22</v>
      </c>
      <c r="AE5" s="257">
        <v>23</v>
      </c>
      <c r="AF5" s="257">
        <v>24</v>
      </c>
      <c r="AG5" s="257">
        <v>25</v>
      </c>
      <c r="AH5" s="257">
        <v>26</v>
      </c>
      <c r="AI5" s="257">
        <v>27</v>
      </c>
      <c r="AJ5" s="257">
        <v>28</v>
      </c>
      <c r="AK5" s="257">
        <v>29</v>
      </c>
      <c r="AL5" s="257">
        <v>30</v>
      </c>
      <c r="AM5" s="324">
        <v>31</v>
      </c>
      <c r="AN5" s="257" t="s">
        <v>198</v>
      </c>
    </row>
    <row r="6" spans="1:41" x14ac:dyDescent="0.3">
      <c r="A6" s="253"/>
      <c r="B6" s="254"/>
      <c r="C6" s="254"/>
      <c r="D6" s="255"/>
      <c r="E6" s="255"/>
      <c r="F6" s="254" t="s">
        <v>199</v>
      </c>
      <c r="G6" s="254" t="s">
        <v>200</v>
      </c>
      <c r="H6" s="257"/>
      <c r="I6" s="259" t="s">
        <v>16</v>
      </c>
      <c r="J6" s="260" t="s">
        <v>17</v>
      </c>
      <c r="K6" s="258" t="s">
        <v>18</v>
      </c>
      <c r="L6" s="257" t="s">
        <v>19</v>
      </c>
      <c r="M6" s="258" t="s">
        <v>19</v>
      </c>
      <c r="N6" s="260" t="s">
        <v>20</v>
      </c>
      <c r="O6" s="260" t="s">
        <v>21</v>
      </c>
      <c r="P6" s="259" t="s">
        <v>16</v>
      </c>
      <c r="Q6" s="259" t="s">
        <v>17</v>
      </c>
      <c r="R6" s="257" t="s">
        <v>18</v>
      </c>
      <c r="S6" s="257" t="s">
        <v>19</v>
      </c>
      <c r="T6" s="257" t="s">
        <v>19</v>
      </c>
      <c r="U6" s="257" t="s">
        <v>20</v>
      </c>
      <c r="V6" s="257" t="s">
        <v>21</v>
      </c>
      <c r="W6" s="259" t="s">
        <v>16</v>
      </c>
      <c r="X6" s="259" t="s">
        <v>17</v>
      </c>
      <c r="Y6" s="257" t="s">
        <v>18</v>
      </c>
      <c r="Z6" s="257" t="s">
        <v>19</v>
      </c>
      <c r="AA6" s="257" t="s">
        <v>19</v>
      </c>
      <c r="AB6" s="257" t="s">
        <v>20</v>
      </c>
      <c r="AC6" s="257" t="s">
        <v>21</v>
      </c>
      <c r="AD6" s="259" t="s">
        <v>16</v>
      </c>
      <c r="AE6" s="259" t="s">
        <v>17</v>
      </c>
      <c r="AF6" s="257" t="s">
        <v>18</v>
      </c>
      <c r="AG6" s="257" t="s">
        <v>19</v>
      </c>
      <c r="AH6" s="257" t="s">
        <v>19</v>
      </c>
      <c r="AI6" s="257" t="s">
        <v>20</v>
      </c>
      <c r="AJ6" s="257" t="s">
        <v>21</v>
      </c>
      <c r="AK6" s="259" t="s">
        <v>16</v>
      </c>
      <c r="AL6" s="259" t="s">
        <v>17</v>
      </c>
      <c r="AM6" s="324" t="s">
        <v>18</v>
      </c>
      <c r="AN6" s="261"/>
    </row>
    <row r="7" spans="1:41" x14ac:dyDescent="0.3">
      <c r="A7" s="259" t="s">
        <v>201</v>
      </c>
      <c r="B7" s="262"/>
      <c r="C7" s="262"/>
      <c r="D7" s="263"/>
      <c r="E7" s="262"/>
      <c r="F7" s="262"/>
      <c r="G7" s="262"/>
      <c r="H7" s="264" t="s">
        <v>202</v>
      </c>
      <c r="I7" s="262"/>
      <c r="J7" s="273"/>
      <c r="K7" s="265"/>
      <c r="L7" s="266"/>
      <c r="M7" s="265"/>
      <c r="N7" s="267"/>
      <c r="O7" s="267"/>
      <c r="P7" s="267"/>
      <c r="Q7" s="262"/>
      <c r="R7" s="266"/>
      <c r="S7" s="266"/>
      <c r="T7" s="266"/>
      <c r="U7" s="266"/>
      <c r="V7" s="266"/>
      <c r="W7" s="262"/>
      <c r="X7" s="268"/>
      <c r="Y7" s="266"/>
      <c r="Z7" s="266"/>
      <c r="AA7" s="266"/>
      <c r="AB7" s="266"/>
      <c r="AC7" s="266"/>
      <c r="AD7" s="262"/>
      <c r="AE7" s="262"/>
      <c r="AF7" s="269"/>
      <c r="AG7" s="269"/>
      <c r="AH7" s="269"/>
      <c r="AI7" s="269"/>
      <c r="AJ7" s="269"/>
      <c r="AK7" s="270"/>
      <c r="AL7" s="325"/>
      <c r="AM7" s="324"/>
      <c r="AN7" s="261"/>
    </row>
    <row r="8" spans="1:41" x14ac:dyDescent="0.3">
      <c r="A8" s="306">
        <v>13027945</v>
      </c>
      <c r="B8" s="306" t="s">
        <v>203</v>
      </c>
      <c r="C8" s="306" t="s">
        <v>29</v>
      </c>
      <c r="D8" s="306" t="s">
        <v>204</v>
      </c>
      <c r="E8" s="306" t="s">
        <v>205</v>
      </c>
      <c r="F8" s="307" t="s">
        <v>206</v>
      </c>
      <c r="G8" s="307" t="s">
        <v>207</v>
      </c>
      <c r="H8" s="307">
        <v>63753497</v>
      </c>
      <c r="I8" s="271"/>
      <c r="J8" s="273"/>
      <c r="K8" s="272">
        <v>6</v>
      </c>
      <c r="L8" s="272">
        <v>6</v>
      </c>
      <c r="M8" s="272">
        <v>6</v>
      </c>
      <c r="N8" s="273"/>
      <c r="O8" s="271"/>
      <c r="P8" s="271"/>
      <c r="Q8" s="273"/>
      <c r="R8" s="1023" t="s">
        <v>208</v>
      </c>
      <c r="S8" s="1024"/>
      <c r="T8" s="1024"/>
      <c r="U8" s="1024"/>
      <c r="V8" s="1024"/>
      <c r="W8" s="1024"/>
      <c r="X8" s="1024"/>
      <c r="Y8" s="1024"/>
      <c r="Z8" s="1024"/>
      <c r="AA8" s="1024"/>
      <c r="AB8" s="1024"/>
      <c r="AC8" s="1025"/>
      <c r="AD8" s="271"/>
      <c r="AE8" s="274"/>
      <c r="AF8" s="272">
        <v>6</v>
      </c>
      <c r="AG8" s="272"/>
      <c r="AH8" s="272">
        <v>6</v>
      </c>
      <c r="AI8" s="272"/>
      <c r="AJ8" s="272">
        <v>6</v>
      </c>
      <c r="AK8" s="275"/>
      <c r="AL8" s="273"/>
      <c r="AM8" s="272">
        <v>6</v>
      </c>
      <c r="AN8" s="276">
        <v>42</v>
      </c>
    </row>
    <row r="9" spans="1:41" x14ac:dyDescent="0.3">
      <c r="A9" s="306">
        <v>13027945</v>
      </c>
      <c r="B9" s="306" t="s">
        <v>203</v>
      </c>
      <c r="C9" s="306" t="s">
        <v>29</v>
      </c>
      <c r="D9" s="306" t="s">
        <v>204</v>
      </c>
      <c r="E9" s="306" t="s">
        <v>205</v>
      </c>
      <c r="F9" s="307" t="s">
        <v>206</v>
      </c>
      <c r="G9" s="308" t="s">
        <v>209</v>
      </c>
      <c r="H9" s="307">
        <v>63753497</v>
      </c>
      <c r="I9" s="1011"/>
      <c r="J9" s="1012"/>
      <c r="K9" s="1012"/>
      <c r="L9" s="1012"/>
      <c r="M9" s="1012"/>
      <c r="N9" s="1012"/>
      <c r="O9" s="1012"/>
      <c r="P9" s="1012"/>
      <c r="Q9" s="1012"/>
      <c r="R9" s="1012"/>
      <c r="S9" s="1012"/>
      <c r="T9" s="1012"/>
      <c r="U9" s="1012"/>
      <c r="V9" s="1012"/>
      <c r="W9" s="1012"/>
      <c r="X9" s="1012"/>
      <c r="Y9" s="1012"/>
      <c r="Z9" s="1012"/>
      <c r="AA9" s="1012"/>
      <c r="AB9" s="1012"/>
      <c r="AC9" s="1012"/>
      <c r="AD9" s="1012"/>
      <c r="AE9" s="1012"/>
      <c r="AF9" s="1012"/>
      <c r="AG9" s="1012"/>
      <c r="AH9" s="1012"/>
      <c r="AI9" s="1012"/>
      <c r="AJ9" s="1012"/>
      <c r="AK9" s="1013"/>
      <c r="AL9" s="272">
        <v>12</v>
      </c>
      <c r="AM9" s="272"/>
      <c r="AN9" s="276">
        <v>12</v>
      </c>
    </row>
    <row r="10" spans="1:41" x14ac:dyDescent="0.3">
      <c r="A10" s="306">
        <v>5054108</v>
      </c>
      <c r="B10" s="309" t="s">
        <v>210</v>
      </c>
      <c r="C10" s="307" t="s">
        <v>211</v>
      </c>
      <c r="D10" s="307" t="s">
        <v>212</v>
      </c>
      <c r="E10" s="306" t="s">
        <v>205</v>
      </c>
      <c r="F10" s="308" t="s">
        <v>213</v>
      </c>
      <c r="G10" s="308" t="s">
        <v>207</v>
      </c>
      <c r="H10" s="307">
        <v>70856468</v>
      </c>
      <c r="I10" s="279"/>
      <c r="J10" s="279"/>
      <c r="K10" s="278">
        <v>6</v>
      </c>
      <c r="L10" s="278">
        <v>6</v>
      </c>
      <c r="M10" s="278">
        <v>6</v>
      </c>
      <c r="N10" s="279"/>
      <c r="O10" s="279"/>
      <c r="P10" s="279"/>
      <c r="Q10" s="279"/>
      <c r="R10" s="278">
        <v>6</v>
      </c>
      <c r="S10" s="278">
        <v>6</v>
      </c>
      <c r="T10" s="278">
        <v>6</v>
      </c>
      <c r="U10" s="278">
        <v>6</v>
      </c>
      <c r="V10" s="278">
        <v>6</v>
      </c>
      <c r="W10" s="279"/>
      <c r="X10" s="279"/>
      <c r="Y10" s="278">
        <v>6</v>
      </c>
      <c r="Z10" s="278">
        <v>6</v>
      </c>
      <c r="AA10" s="278">
        <v>6</v>
      </c>
      <c r="AB10" s="278">
        <v>6</v>
      </c>
      <c r="AC10" s="278"/>
      <c r="AD10" s="279"/>
      <c r="AE10" s="279"/>
      <c r="AF10" s="1027" t="s">
        <v>208</v>
      </c>
      <c r="AG10" s="1028"/>
      <c r="AH10" s="1028"/>
      <c r="AI10" s="1028"/>
      <c r="AJ10" s="1029"/>
      <c r="AK10" s="279"/>
      <c r="AL10" s="279"/>
      <c r="AM10" s="278"/>
      <c r="AN10" s="278">
        <v>72</v>
      </c>
      <c r="AO10" s="51"/>
    </row>
    <row r="11" spans="1:41" x14ac:dyDescent="0.3">
      <c r="A11" s="306">
        <v>5054108</v>
      </c>
      <c r="B11" s="309" t="s">
        <v>210</v>
      </c>
      <c r="C11" s="307" t="s">
        <v>211</v>
      </c>
      <c r="D11" s="307" t="s">
        <v>212</v>
      </c>
      <c r="E11" s="306" t="s">
        <v>205</v>
      </c>
      <c r="F11" s="308" t="s">
        <v>214</v>
      </c>
      <c r="G11" s="308" t="s">
        <v>213</v>
      </c>
      <c r="H11" s="307">
        <v>70856468</v>
      </c>
      <c r="I11" s="1030"/>
      <c r="J11" s="1031"/>
      <c r="K11" s="1031"/>
      <c r="L11" s="1031"/>
      <c r="M11" s="1031"/>
      <c r="N11" s="1031"/>
      <c r="O11" s="1031"/>
      <c r="P11" s="1031"/>
      <c r="Q11" s="1031"/>
      <c r="R11" s="1031"/>
      <c r="S11" s="1031"/>
      <c r="T11" s="1031"/>
      <c r="U11" s="1031"/>
      <c r="V11" s="1032"/>
      <c r="W11" s="278">
        <v>12</v>
      </c>
      <c r="X11" s="1033"/>
      <c r="Y11" s="1034"/>
      <c r="Z11" s="1034"/>
      <c r="AA11" s="1034"/>
      <c r="AB11" s="1034"/>
      <c r="AC11" s="1034"/>
      <c r="AD11" s="1034"/>
      <c r="AE11" s="1034"/>
      <c r="AF11" s="1034"/>
      <c r="AG11" s="1034"/>
      <c r="AH11" s="1034"/>
      <c r="AI11" s="1034"/>
      <c r="AJ11" s="1034"/>
      <c r="AK11" s="1034"/>
      <c r="AL11" s="1034"/>
      <c r="AM11" s="1035"/>
      <c r="AN11" s="278">
        <v>12</v>
      </c>
    </row>
    <row r="12" spans="1:41" x14ac:dyDescent="0.3">
      <c r="A12" s="307" t="s">
        <v>215</v>
      </c>
      <c r="B12" s="306" t="s">
        <v>216</v>
      </c>
      <c r="C12" s="306" t="s">
        <v>217</v>
      </c>
      <c r="D12" s="306" t="s">
        <v>218</v>
      </c>
      <c r="E12" s="306" t="s">
        <v>219</v>
      </c>
      <c r="F12" s="308" t="s">
        <v>220</v>
      </c>
      <c r="G12" s="308" t="s">
        <v>221</v>
      </c>
      <c r="H12" s="307">
        <v>75519188</v>
      </c>
      <c r="I12" s="271"/>
      <c r="J12" s="273"/>
      <c r="K12" s="272">
        <v>6</v>
      </c>
      <c r="L12" s="272">
        <v>6</v>
      </c>
      <c r="M12" s="272">
        <v>6</v>
      </c>
      <c r="N12" s="273"/>
      <c r="O12" s="271"/>
      <c r="P12" s="271"/>
      <c r="Q12" s="273"/>
      <c r="R12" s="276">
        <v>6</v>
      </c>
      <c r="S12" s="272">
        <v>6</v>
      </c>
      <c r="T12" s="272">
        <v>6</v>
      </c>
      <c r="U12" s="272">
        <v>6</v>
      </c>
      <c r="V12" s="280">
        <v>6</v>
      </c>
      <c r="W12" s="271"/>
      <c r="X12" s="273"/>
      <c r="Y12" s="272">
        <v>6</v>
      </c>
      <c r="Z12" s="281">
        <v>6</v>
      </c>
      <c r="AA12" s="281">
        <v>6</v>
      </c>
      <c r="AB12" s="281">
        <v>6</v>
      </c>
      <c r="AC12" s="281">
        <v>6</v>
      </c>
      <c r="AD12" s="282"/>
      <c r="AE12" s="273"/>
      <c r="AF12" s="272">
        <v>6</v>
      </c>
      <c r="AG12" s="272">
        <v>6</v>
      </c>
      <c r="AH12" s="272">
        <v>6</v>
      </c>
      <c r="AI12" s="272">
        <v>6</v>
      </c>
      <c r="AJ12" s="272">
        <v>6</v>
      </c>
      <c r="AK12" s="273"/>
      <c r="AL12" s="273"/>
      <c r="AM12" s="272">
        <v>6</v>
      </c>
      <c r="AN12" s="276">
        <f>SUM(I12:AM12)</f>
        <v>114</v>
      </c>
    </row>
    <row r="13" spans="1:41" x14ac:dyDescent="0.3">
      <c r="A13" s="306" t="s">
        <v>222</v>
      </c>
      <c r="B13" s="309" t="s">
        <v>223</v>
      </c>
      <c r="C13" s="307" t="s">
        <v>224</v>
      </c>
      <c r="D13" s="307" t="s">
        <v>225</v>
      </c>
      <c r="E13" s="306" t="s">
        <v>205</v>
      </c>
      <c r="F13" s="308" t="s">
        <v>226</v>
      </c>
      <c r="G13" s="308" t="s">
        <v>227</v>
      </c>
      <c r="H13" s="307">
        <v>76380904</v>
      </c>
      <c r="I13" s="271"/>
      <c r="J13" s="273"/>
      <c r="K13" s="272">
        <v>6</v>
      </c>
      <c r="L13" s="272">
        <v>6</v>
      </c>
      <c r="M13" s="272">
        <v>6</v>
      </c>
      <c r="N13" s="273"/>
      <c r="O13" s="271"/>
      <c r="P13" s="271"/>
      <c r="Q13" s="273"/>
      <c r="R13" s="272">
        <v>6</v>
      </c>
      <c r="S13" s="272">
        <v>6</v>
      </c>
      <c r="T13" s="272">
        <v>6</v>
      </c>
      <c r="U13" s="272">
        <v>6</v>
      </c>
      <c r="V13" s="280">
        <v>6</v>
      </c>
      <c r="W13" s="271"/>
      <c r="X13" s="273"/>
      <c r="Y13" s="272">
        <v>6</v>
      </c>
      <c r="Z13" s="281">
        <v>6</v>
      </c>
      <c r="AA13" s="281">
        <v>6</v>
      </c>
      <c r="AB13" s="281">
        <v>6</v>
      </c>
      <c r="AC13" s="281">
        <v>6</v>
      </c>
      <c r="AD13" s="282"/>
      <c r="AE13" s="273"/>
      <c r="AF13" s="272">
        <v>6</v>
      </c>
      <c r="AG13" s="272">
        <v>6</v>
      </c>
      <c r="AH13" s="272">
        <v>6</v>
      </c>
      <c r="AI13" s="272">
        <v>6</v>
      </c>
      <c r="AJ13" s="272">
        <v>6</v>
      </c>
      <c r="AK13" s="273"/>
      <c r="AL13" s="273"/>
      <c r="AM13" s="272">
        <v>6</v>
      </c>
      <c r="AN13" s="276">
        <f>SUM(I13:AM13)</f>
        <v>114</v>
      </c>
    </row>
    <row r="14" spans="1:41" x14ac:dyDescent="0.3">
      <c r="A14" s="306" t="s">
        <v>228</v>
      </c>
      <c r="B14" s="309" t="s">
        <v>229</v>
      </c>
      <c r="C14" s="307" t="s">
        <v>230</v>
      </c>
      <c r="D14" s="307" t="s">
        <v>231</v>
      </c>
      <c r="E14" s="306" t="s">
        <v>232</v>
      </c>
      <c r="F14" s="308" t="s">
        <v>226</v>
      </c>
      <c r="G14" s="308" t="s">
        <v>227</v>
      </c>
      <c r="H14" s="307">
        <v>73690550</v>
      </c>
      <c r="I14" s="271"/>
      <c r="J14" s="273"/>
      <c r="K14" s="272">
        <v>6</v>
      </c>
      <c r="L14" s="272">
        <v>6</v>
      </c>
      <c r="M14" s="272">
        <v>6</v>
      </c>
      <c r="N14" s="273"/>
      <c r="O14" s="271"/>
      <c r="P14" s="271"/>
      <c r="Q14" s="273"/>
      <c r="R14" s="272">
        <v>6</v>
      </c>
      <c r="S14" s="272">
        <v>6</v>
      </c>
      <c r="T14" s="272">
        <v>6</v>
      </c>
      <c r="U14" s="272">
        <v>6</v>
      </c>
      <c r="V14" s="280">
        <v>6</v>
      </c>
      <c r="W14" s="271"/>
      <c r="X14" s="273"/>
      <c r="Y14" s="272">
        <v>6</v>
      </c>
      <c r="Z14" s="281">
        <v>6</v>
      </c>
      <c r="AA14" s="281">
        <v>6</v>
      </c>
      <c r="AB14" s="281">
        <v>6</v>
      </c>
      <c r="AC14" s="281">
        <v>6</v>
      </c>
      <c r="AD14" s="282"/>
      <c r="AE14" s="273"/>
      <c r="AF14" s="272">
        <v>6</v>
      </c>
      <c r="AG14" s="272">
        <v>6</v>
      </c>
      <c r="AH14" s="272">
        <v>6</v>
      </c>
      <c r="AI14" s="272">
        <v>6</v>
      </c>
      <c r="AJ14" s="272">
        <v>6</v>
      </c>
      <c r="AK14" s="273"/>
      <c r="AL14" s="273"/>
      <c r="AM14" s="272">
        <v>6</v>
      </c>
      <c r="AN14" s="276">
        <v>114</v>
      </c>
      <c r="AO14" s="283"/>
    </row>
    <row r="15" spans="1:41" x14ac:dyDescent="0.3">
      <c r="A15" s="306" t="s">
        <v>233</v>
      </c>
      <c r="B15" s="309" t="s">
        <v>234</v>
      </c>
      <c r="C15" s="307" t="s">
        <v>235</v>
      </c>
      <c r="D15" s="307" t="s">
        <v>236</v>
      </c>
      <c r="E15" s="306" t="s">
        <v>219</v>
      </c>
      <c r="F15" s="308" t="s">
        <v>237</v>
      </c>
      <c r="G15" s="308" t="s">
        <v>227</v>
      </c>
      <c r="H15" s="307">
        <v>78435419</v>
      </c>
      <c r="I15" s="271"/>
      <c r="J15" s="271"/>
      <c r="K15" s="280">
        <v>6</v>
      </c>
      <c r="L15" s="272">
        <v>6</v>
      </c>
      <c r="M15" s="272">
        <v>6</v>
      </c>
      <c r="N15" s="271"/>
      <c r="O15" s="271"/>
      <c r="P15" s="271"/>
      <c r="Q15" s="271"/>
      <c r="R15" s="272">
        <v>6</v>
      </c>
      <c r="S15" s="272">
        <v>6</v>
      </c>
      <c r="T15" s="272">
        <v>6</v>
      </c>
      <c r="U15" s="272">
        <v>6</v>
      </c>
      <c r="V15" s="280">
        <v>6</v>
      </c>
      <c r="W15" s="271"/>
      <c r="X15" s="271"/>
      <c r="Y15" s="1036" t="s">
        <v>208</v>
      </c>
      <c r="Z15" s="1037"/>
      <c r="AA15" s="1037"/>
      <c r="AB15" s="1037"/>
      <c r="AC15" s="1037"/>
      <c r="AD15" s="1037"/>
      <c r="AE15" s="1037"/>
      <c r="AF15" s="1037"/>
      <c r="AG15" s="1037"/>
      <c r="AH15" s="1037"/>
      <c r="AI15" s="1037"/>
      <c r="AJ15" s="1038"/>
      <c r="AK15" s="273"/>
      <c r="AL15" s="271"/>
      <c r="AM15" s="280">
        <v>6</v>
      </c>
      <c r="AN15" s="280">
        <v>54</v>
      </c>
    </row>
    <row r="16" spans="1:41" x14ac:dyDescent="0.3">
      <c r="A16" s="306" t="s">
        <v>238</v>
      </c>
      <c r="B16" s="309" t="s">
        <v>56</v>
      </c>
      <c r="C16" s="307" t="s">
        <v>67</v>
      </c>
      <c r="D16" s="307" t="s">
        <v>239</v>
      </c>
      <c r="E16" s="306" t="s">
        <v>205</v>
      </c>
      <c r="F16" s="308" t="s">
        <v>227</v>
      </c>
      <c r="G16" s="308" t="s">
        <v>213</v>
      </c>
      <c r="H16" s="310">
        <v>68286203</v>
      </c>
      <c r="I16" s="271">
        <v>12</v>
      </c>
      <c r="J16" s="273"/>
      <c r="K16" s="280"/>
      <c r="L16" s="280">
        <v>12</v>
      </c>
      <c r="M16" s="280"/>
      <c r="N16" s="271"/>
      <c r="O16" s="271">
        <v>12</v>
      </c>
      <c r="P16" s="271"/>
      <c r="Q16" s="271"/>
      <c r="R16" s="280">
        <v>12</v>
      </c>
      <c r="S16" s="280"/>
      <c r="T16" s="280"/>
      <c r="U16" s="280">
        <v>12</v>
      </c>
      <c r="V16" s="280"/>
      <c r="W16" s="271"/>
      <c r="X16" s="271">
        <v>12</v>
      </c>
      <c r="Y16" s="280"/>
      <c r="Z16" s="278"/>
      <c r="AA16" s="278">
        <v>12</v>
      </c>
      <c r="AB16" s="278"/>
      <c r="AC16" s="280"/>
      <c r="AD16" s="271"/>
      <c r="AE16" s="271"/>
      <c r="AF16" s="280"/>
      <c r="AG16" s="280">
        <v>12</v>
      </c>
      <c r="AH16" s="280"/>
      <c r="AI16" s="280"/>
      <c r="AJ16" s="280">
        <v>12</v>
      </c>
      <c r="AK16" s="284">
        <v>12</v>
      </c>
      <c r="AL16" s="273"/>
      <c r="AM16" s="272">
        <v>12</v>
      </c>
      <c r="AN16" s="276">
        <f>SUM(I16:AM16)</f>
        <v>132</v>
      </c>
    </row>
    <row r="17" spans="1:40" x14ac:dyDescent="0.3">
      <c r="A17" s="311" t="s">
        <v>240</v>
      </c>
      <c r="B17" s="312" t="s">
        <v>87</v>
      </c>
      <c r="C17" s="310" t="s">
        <v>74</v>
      </c>
      <c r="D17" s="310" t="s">
        <v>241</v>
      </c>
      <c r="E17" s="306" t="s">
        <v>232</v>
      </c>
      <c r="F17" s="308" t="s">
        <v>242</v>
      </c>
      <c r="G17" s="308" t="s">
        <v>213</v>
      </c>
      <c r="H17" s="310">
        <v>75302608</v>
      </c>
      <c r="I17" s="279">
        <v>12</v>
      </c>
      <c r="J17" s="279"/>
      <c r="K17" s="278"/>
      <c r="L17" s="278">
        <v>12</v>
      </c>
      <c r="M17" s="278"/>
      <c r="N17" s="279"/>
      <c r="O17" s="279">
        <v>12</v>
      </c>
      <c r="P17" s="279"/>
      <c r="Q17" s="279"/>
      <c r="R17" s="278">
        <v>12</v>
      </c>
      <c r="S17" s="278"/>
      <c r="T17" s="278"/>
      <c r="U17" s="278">
        <v>12</v>
      </c>
      <c r="V17" s="278"/>
      <c r="W17" s="279"/>
      <c r="X17" s="279">
        <v>12</v>
      </c>
      <c r="Y17" s="278"/>
      <c r="Z17" s="280"/>
      <c r="AA17" s="280">
        <v>12</v>
      </c>
      <c r="AB17" s="280"/>
      <c r="AC17" s="278"/>
      <c r="AD17" s="279">
        <v>12</v>
      </c>
      <c r="AE17" s="279"/>
      <c r="AF17" s="278"/>
      <c r="AG17" s="278">
        <v>12</v>
      </c>
      <c r="AH17" s="278"/>
      <c r="AI17" s="278"/>
      <c r="AJ17" s="278">
        <v>12</v>
      </c>
      <c r="AK17" s="279"/>
      <c r="AL17" s="279"/>
      <c r="AM17" s="278">
        <v>12</v>
      </c>
      <c r="AN17" s="278">
        <v>132</v>
      </c>
    </row>
    <row r="18" spans="1:40" x14ac:dyDescent="0.3">
      <c r="A18" s="307" t="s">
        <v>243</v>
      </c>
      <c r="B18" s="309" t="s">
        <v>244</v>
      </c>
      <c r="C18" s="307" t="s">
        <v>245</v>
      </c>
      <c r="D18" s="307" t="s">
        <v>246</v>
      </c>
      <c r="E18" s="306" t="s">
        <v>205</v>
      </c>
      <c r="F18" s="313" t="s">
        <v>214</v>
      </c>
      <c r="G18" s="308" t="s">
        <v>213</v>
      </c>
      <c r="H18" s="307">
        <v>68773050</v>
      </c>
      <c r="I18" s="271"/>
      <c r="J18" s="273">
        <v>12</v>
      </c>
      <c r="K18" s="280"/>
      <c r="L18" s="280"/>
      <c r="M18" s="280">
        <v>12</v>
      </c>
      <c r="N18" s="271"/>
      <c r="O18" s="271"/>
      <c r="P18" s="271">
        <v>12</v>
      </c>
      <c r="Q18" s="271"/>
      <c r="R18" s="280"/>
      <c r="S18" s="280">
        <v>12</v>
      </c>
      <c r="T18" s="280"/>
      <c r="U18" s="280"/>
      <c r="V18" s="280">
        <v>12</v>
      </c>
      <c r="W18" s="271"/>
      <c r="X18" s="271"/>
      <c r="Y18" s="280">
        <v>12</v>
      </c>
      <c r="Z18" s="280"/>
      <c r="AA18" s="280"/>
      <c r="AB18" s="280">
        <v>12</v>
      </c>
      <c r="AC18" s="280"/>
      <c r="AD18" s="271">
        <v>12</v>
      </c>
      <c r="AE18" s="271">
        <v>12</v>
      </c>
      <c r="AF18" s="280"/>
      <c r="AG18" s="280"/>
      <c r="AH18" s="280">
        <v>12</v>
      </c>
      <c r="AI18" s="280"/>
      <c r="AJ18" s="280"/>
      <c r="AK18" s="284"/>
      <c r="AL18" s="273"/>
      <c r="AM18" s="272"/>
      <c r="AN18" s="276">
        <f>SUM(I18:AM18)</f>
        <v>120</v>
      </c>
    </row>
    <row r="19" spans="1:40" x14ac:dyDescent="0.3">
      <c r="A19" s="306" t="s">
        <v>247</v>
      </c>
      <c r="B19" s="309" t="s">
        <v>248</v>
      </c>
      <c r="C19" s="307" t="s">
        <v>249</v>
      </c>
      <c r="D19" s="307" t="s">
        <v>250</v>
      </c>
      <c r="E19" s="306" t="s">
        <v>219</v>
      </c>
      <c r="F19" s="308" t="s">
        <v>214</v>
      </c>
      <c r="G19" s="308" t="s">
        <v>213</v>
      </c>
      <c r="H19" s="314">
        <v>77698643</v>
      </c>
      <c r="I19" s="271"/>
      <c r="J19" s="273">
        <v>12</v>
      </c>
      <c r="K19" s="280"/>
      <c r="L19" s="280"/>
      <c r="M19" s="280"/>
      <c r="N19" s="271"/>
      <c r="O19" s="271"/>
      <c r="P19" s="271">
        <v>12</v>
      </c>
      <c r="Q19" s="271"/>
      <c r="R19" s="280"/>
      <c r="S19" s="280">
        <v>12</v>
      </c>
      <c r="T19" s="280"/>
      <c r="U19" s="280"/>
      <c r="V19" s="280">
        <v>12</v>
      </c>
      <c r="W19" s="271">
        <v>12</v>
      </c>
      <c r="X19" s="271"/>
      <c r="Y19" s="280">
        <v>12</v>
      </c>
      <c r="Z19" s="280"/>
      <c r="AA19" s="280"/>
      <c r="AB19" s="280">
        <v>12</v>
      </c>
      <c r="AC19" s="280"/>
      <c r="AD19" s="271"/>
      <c r="AE19" s="271">
        <v>12</v>
      </c>
      <c r="AF19" s="280"/>
      <c r="AG19" s="280"/>
      <c r="AH19" s="280">
        <v>12</v>
      </c>
      <c r="AI19" s="280"/>
      <c r="AJ19" s="280"/>
      <c r="AK19" s="284">
        <v>12</v>
      </c>
      <c r="AL19" s="273"/>
      <c r="AM19" s="272"/>
      <c r="AN19" s="276">
        <v>120</v>
      </c>
    </row>
    <row r="20" spans="1:40" x14ac:dyDescent="0.3">
      <c r="A20" s="306" t="s">
        <v>251</v>
      </c>
      <c r="B20" s="309" t="s">
        <v>29</v>
      </c>
      <c r="C20" s="307" t="s">
        <v>252</v>
      </c>
      <c r="D20" s="307" t="s">
        <v>253</v>
      </c>
      <c r="E20" s="306" t="s">
        <v>254</v>
      </c>
      <c r="F20" s="308" t="s">
        <v>214</v>
      </c>
      <c r="G20" s="308" t="s">
        <v>213</v>
      </c>
      <c r="H20" s="307">
        <v>73001480</v>
      </c>
      <c r="I20" s="271"/>
      <c r="J20" s="273"/>
      <c r="K20" s="280">
        <v>12</v>
      </c>
      <c r="L20" s="280"/>
      <c r="M20" s="280"/>
      <c r="N20" s="271">
        <v>12</v>
      </c>
      <c r="O20" s="271"/>
      <c r="P20" s="271"/>
      <c r="Q20" s="271">
        <v>12</v>
      </c>
      <c r="R20" s="280"/>
      <c r="S20" s="280"/>
      <c r="T20" s="280">
        <v>12</v>
      </c>
      <c r="U20" s="280"/>
      <c r="V20" s="280"/>
      <c r="W20" s="271"/>
      <c r="X20" s="271"/>
      <c r="Y20" s="280"/>
      <c r="Z20" s="280">
        <v>12</v>
      </c>
      <c r="AA20" s="280"/>
      <c r="AB20" s="280"/>
      <c r="AC20" s="280">
        <v>12</v>
      </c>
      <c r="AD20" s="271"/>
      <c r="AE20" s="271"/>
      <c r="AF20" s="280">
        <v>12</v>
      </c>
      <c r="AG20" s="280"/>
      <c r="AH20" s="280"/>
      <c r="AI20" s="280">
        <v>12</v>
      </c>
      <c r="AJ20" s="280"/>
      <c r="AK20" s="284"/>
      <c r="AL20" s="273">
        <v>12</v>
      </c>
      <c r="AM20" s="272"/>
      <c r="AN20" s="276">
        <v>108</v>
      </c>
    </row>
    <row r="21" spans="1:40" x14ac:dyDescent="0.3">
      <c r="A21" s="306" t="s">
        <v>251</v>
      </c>
      <c r="B21" s="309" t="s">
        <v>29</v>
      </c>
      <c r="C21" s="307" t="s">
        <v>252</v>
      </c>
      <c r="D21" s="307" t="s">
        <v>253</v>
      </c>
      <c r="E21" s="306" t="s">
        <v>254</v>
      </c>
      <c r="F21" s="307" t="s">
        <v>206</v>
      </c>
      <c r="G21" s="308" t="s">
        <v>207</v>
      </c>
      <c r="H21" s="307">
        <v>73001480</v>
      </c>
      <c r="I21" s="1011"/>
      <c r="J21" s="1012"/>
      <c r="K21" s="1012"/>
      <c r="L21" s="1012"/>
      <c r="M21" s="1012"/>
      <c r="N21" s="1012"/>
      <c r="O21" s="1012"/>
      <c r="P21" s="1012"/>
      <c r="Q21" s="1012"/>
      <c r="R21" s="1012"/>
      <c r="S21" s="1012"/>
      <c r="T21" s="1012"/>
      <c r="U21" s="1012"/>
      <c r="V21" s="1012"/>
      <c r="W21" s="1012"/>
      <c r="X21" s="1012"/>
      <c r="Y21" s="1012"/>
      <c r="Z21" s="1012"/>
      <c r="AA21" s="1012"/>
      <c r="AB21" s="1013"/>
      <c r="AC21" s="280">
        <v>6</v>
      </c>
      <c r="AD21" s="1011"/>
      <c r="AE21" s="1012"/>
      <c r="AF21" s="1012"/>
      <c r="AG21" s="1012"/>
      <c r="AH21" s="1012"/>
      <c r="AI21" s="1012"/>
      <c r="AJ21" s="1012"/>
      <c r="AK21" s="1012"/>
      <c r="AL21" s="1013"/>
      <c r="AM21" s="272">
        <v>6</v>
      </c>
      <c r="AN21" s="276">
        <v>12</v>
      </c>
    </row>
    <row r="22" spans="1:40" x14ac:dyDescent="0.3">
      <c r="A22" s="306" t="s">
        <v>255</v>
      </c>
      <c r="B22" s="309" t="s">
        <v>217</v>
      </c>
      <c r="C22" s="307" t="s">
        <v>256</v>
      </c>
      <c r="D22" s="307" t="s">
        <v>257</v>
      </c>
      <c r="E22" s="306" t="s">
        <v>219</v>
      </c>
      <c r="F22" s="308" t="s">
        <v>258</v>
      </c>
      <c r="G22" s="308" t="s">
        <v>213</v>
      </c>
      <c r="H22" s="307">
        <v>75367336</v>
      </c>
      <c r="I22" s="271"/>
      <c r="J22" s="271"/>
      <c r="K22" s="280">
        <v>12</v>
      </c>
      <c r="L22" s="280"/>
      <c r="M22" s="280">
        <v>12</v>
      </c>
      <c r="N22" s="271">
        <v>12</v>
      </c>
      <c r="O22" s="271"/>
      <c r="P22" s="271"/>
      <c r="Q22" s="271">
        <v>12</v>
      </c>
      <c r="R22" s="280"/>
      <c r="S22" s="280"/>
      <c r="T22" s="280">
        <v>12</v>
      </c>
      <c r="U22" s="280"/>
      <c r="V22" s="280"/>
      <c r="W22" s="271"/>
      <c r="X22" s="271"/>
      <c r="Y22" s="280"/>
      <c r="Z22" s="280">
        <v>12</v>
      </c>
      <c r="AA22" s="280"/>
      <c r="AB22" s="280"/>
      <c r="AC22" s="280">
        <v>12</v>
      </c>
      <c r="AD22" s="271"/>
      <c r="AE22" s="271"/>
      <c r="AF22" s="280">
        <v>12</v>
      </c>
      <c r="AG22" s="280"/>
      <c r="AH22" s="280"/>
      <c r="AI22" s="280">
        <v>12</v>
      </c>
      <c r="AJ22" s="280"/>
      <c r="AK22" s="284"/>
      <c r="AL22" s="273">
        <v>12</v>
      </c>
      <c r="AM22" s="272"/>
      <c r="AN22" s="276">
        <f>SUM(I22:AM22)</f>
        <v>120</v>
      </c>
    </row>
    <row r="23" spans="1:40" x14ac:dyDescent="0.3">
      <c r="A23" s="311" t="s">
        <v>259</v>
      </c>
      <c r="B23" s="311" t="s">
        <v>99</v>
      </c>
      <c r="C23" s="311" t="s">
        <v>260</v>
      </c>
      <c r="D23" s="311" t="s">
        <v>261</v>
      </c>
      <c r="E23" s="306" t="s">
        <v>205</v>
      </c>
      <c r="F23" s="308" t="s">
        <v>220</v>
      </c>
      <c r="G23" s="308" t="s">
        <v>242</v>
      </c>
      <c r="H23" s="310">
        <v>74696020</v>
      </c>
      <c r="I23" s="271">
        <v>12</v>
      </c>
      <c r="J23" s="271">
        <v>12</v>
      </c>
      <c r="K23" s="280"/>
      <c r="L23" s="280"/>
      <c r="M23" s="280"/>
      <c r="N23" s="271">
        <v>12</v>
      </c>
      <c r="O23" s="271">
        <v>12</v>
      </c>
      <c r="P23" s="271">
        <v>12</v>
      </c>
      <c r="Q23" s="271">
        <v>12</v>
      </c>
      <c r="R23" s="280"/>
      <c r="S23" s="280"/>
      <c r="T23" s="280"/>
      <c r="U23" s="280"/>
      <c r="V23" s="280"/>
      <c r="W23" s="271">
        <v>12</v>
      </c>
      <c r="X23" s="271">
        <v>12</v>
      </c>
      <c r="Y23" s="280"/>
      <c r="Z23" s="280"/>
      <c r="AA23" s="280"/>
      <c r="AB23" s="280"/>
      <c r="AC23" s="280"/>
      <c r="AD23" s="271">
        <v>12</v>
      </c>
      <c r="AE23" s="271">
        <v>12</v>
      </c>
      <c r="AF23" s="280"/>
      <c r="AG23" s="280"/>
      <c r="AH23" s="280"/>
      <c r="AI23" s="280"/>
      <c r="AJ23" s="280"/>
      <c r="AK23" s="284">
        <v>12</v>
      </c>
      <c r="AL23" s="273"/>
      <c r="AM23" s="272"/>
      <c r="AN23" s="276">
        <v>132</v>
      </c>
    </row>
    <row r="24" spans="1:40" x14ac:dyDescent="0.3">
      <c r="A24" s="311" t="s">
        <v>259</v>
      </c>
      <c r="B24" s="311" t="s">
        <v>99</v>
      </c>
      <c r="C24" s="311" t="s">
        <v>260</v>
      </c>
      <c r="D24" s="311" t="s">
        <v>261</v>
      </c>
      <c r="E24" s="306" t="s">
        <v>205</v>
      </c>
      <c r="F24" s="308" t="s">
        <v>220</v>
      </c>
      <c r="G24" s="307" t="s">
        <v>237</v>
      </c>
      <c r="H24" s="310">
        <v>74696020</v>
      </c>
      <c r="I24" s="1011"/>
      <c r="J24" s="1012"/>
      <c r="K24" s="1012"/>
      <c r="L24" s="1012"/>
      <c r="M24" s="1012"/>
      <c r="N24" s="1012"/>
      <c r="O24" s="1012"/>
      <c r="P24" s="1012"/>
      <c r="Q24" s="1012"/>
      <c r="R24" s="1012"/>
      <c r="S24" s="1012"/>
      <c r="T24" s="1012"/>
      <c r="U24" s="1012"/>
      <c r="V24" s="1012"/>
      <c r="W24" s="1012"/>
      <c r="X24" s="1012"/>
      <c r="Y24" s="1012"/>
      <c r="Z24" s="1012"/>
      <c r="AA24" s="1012"/>
      <c r="AB24" s="1012"/>
      <c r="AC24" s="1012"/>
      <c r="AD24" s="1012"/>
      <c r="AE24" s="1012"/>
      <c r="AF24" s="1013"/>
      <c r="AG24" s="280">
        <v>6</v>
      </c>
      <c r="AH24" s="280"/>
      <c r="AI24" s="280">
        <v>6</v>
      </c>
      <c r="AJ24" s="1011"/>
      <c r="AK24" s="1012"/>
      <c r="AL24" s="1012"/>
      <c r="AM24" s="1013"/>
      <c r="AN24" s="276">
        <v>12</v>
      </c>
    </row>
    <row r="25" spans="1:40" x14ac:dyDescent="0.3">
      <c r="A25" s="306" t="s">
        <v>262</v>
      </c>
      <c r="B25" s="309" t="s">
        <v>263</v>
      </c>
      <c r="C25" s="307" t="s">
        <v>264</v>
      </c>
      <c r="D25" s="307" t="s">
        <v>265</v>
      </c>
      <c r="E25" s="306" t="s">
        <v>266</v>
      </c>
      <c r="F25" s="308" t="s">
        <v>206</v>
      </c>
      <c r="G25" s="308" t="s">
        <v>267</v>
      </c>
      <c r="H25" s="314">
        <v>71016176</v>
      </c>
      <c r="I25" s="271">
        <v>12</v>
      </c>
      <c r="J25" s="273">
        <v>12</v>
      </c>
      <c r="K25" s="280"/>
      <c r="L25" s="280"/>
      <c r="M25" s="280"/>
      <c r="N25" s="271">
        <v>12</v>
      </c>
      <c r="O25" s="271">
        <v>12</v>
      </c>
      <c r="P25" s="271">
        <v>12</v>
      </c>
      <c r="Q25" s="271">
        <v>12</v>
      </c>
      <c r="R25" s="280"/>
      <c r="S25" s="280"/>
      <c r="T25" s="280"/>
      <c r="U25" s="280"/>
      <c r="V25" s="280"/>
      <c r="W25" s="271">
        <v>12</v>
      </c>
      <c r="X25" s="271">
        <v>12</v>
      </c>
      <c r="Y25" s="280"/>
      <c r="Z25" s="276"/>
      <c r="AA25" s="276"/>
      <c r="AB25" s="276"/>
      <c r="AC25" s="280"/>
      <c r="AD25" s="271">
        <v>12</v>
      </c>
      <c r="AE25" s="271">
        <v>12</v>
      </c>
      <c r="AF25" s="280"/>
      <c r="AG25" s="280"/>
      <c r="AH25" s="280"/>
      <c r="AI25" s="280"/>
      <c r="AJ25" s="280"/>
      <c r="AK25" s="284">
        <v>12</v>
      </c>
      <c r="AL25" s="273">
        <v>12</v>
      </c>
      <c r="AM25" s="272"/>
      <c r="AN25" s="276">
        <v>144</v>
      </c>
    </row>
    <row r="26" spans="1:40" x14ac:dyDescent="0.3">
      <c r="A26" s="53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7"/>
      <c r="Y26" s="327"/>
      <c r="Z26" s="2"/>
      <c r="AA26" s="2"/>
      <c r="AB26" s="2"/>
      <c r="AC26" s="327"/>
      <c r="AD26" s="327"/>
      <c r="AE26" s="327"/>
      <c r="AF26" s="327"/>
      <c r="AG26" s="327"/>
      <c r="AH26" s="327"/>
      <c r="AI26" s="327"/>
      <c r="AJ26" s="327"/>
      <c r="AK26" s="327"/>
      <c r="AL26" s="327"/>
      <c r="AM26" s="327"/>
      <c r="AN26" s="5"/>
    </row>
    <row r="27" spans="1:40" x14ac:dyDescent="0.3">
      <c r="D27" s="286"/>
      <c r="E27" s="1039"/>
      <c r="F27" s="1039"/>
      <c r="G27" s="1039"/>
      <c r="H27" s="1039"/>
      <c r="I27" s="1039"/>
      <c r="J27" s="1039"/>
      <c r="K27" s="1039"/>
      <c r="L27" s="1039"/>
      <c r="M27" s="1039"/>
      <c r="N27" s="1039"/>
      <c r="O27" s="1039"/>
      <c r="P27" s="1039"/>
      <c r="Q27" s="1039"/>
      <c r="AK27" s="2"/>
      <c r="AL27" s="2"/>
    </row>
    <row r="28" spans="1:40" x14ac:dyDescent="0.3">
      <c r="C28" s="287" t="s">
        <v>268</v>
      </c>
      <c r="D28" s="288"/>
      <c r="E28" s="5" t="s">
        <v>269</v>
      </c>
    </row>
    <row r="29" spans="1:40" x14ac:dyDescent="0.3">
      <c r="C29" s="289" t="s">
        <v>208</v>
      </c>
      <c r="D29" s="1040" t="s">
        <v>270</v>
      </c>
      <c r="E29" s="1040"/>
      <c r="F29" s="1040"/>
      <c r="G29" s="1040"/>
      <c r="H29" s="4" t="s">
        <v>271</v>
      </c>
    </row>
    <row r="30" spans="1:40" x14ac:dyDescent="0.3">
      <c r="B30" s="5"/>
      <c r="C30" s="5"/>
      <c r="D30" s="5"/>
      <c r="E30" s="1041"/>
      <c r="F30" s="1041"/>
      <c r="G30" s="1041"/>
      <c r="H30" s="1041"/>
      <c r="I30" s="1041"/>
      <c r="J30" s="1041"/>
      <c r="K30" s="1041"/>
      <c r="L30" s="1041"/>
      <c r="M30" s="1041"/>
      <c r="N30" s="1041"/>
      <c r="O30" s="1041"/>
      <c r="P30" s="1041"/>
    </row>
    <row r="31" spans="1:40" x14ac:dyDescent="0.3">
      <c r="C31" s="285"/>
      <c r="D31" s="285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</row>
    <row r="33" spans="1:40" x14ac:dyDescent="0.3">
      <c r="Z33" s="290"/>
      <c r="AA33" s="291"/>
      <c r="AB33" s="290"/>
    </row>
    <row r="34" spans="1:40" x14ac:dyDescent="0.3">
      <c r="B34" s="52"/>
      <c r="C34" s="53"/>
      <c r="D34" s="53"/>
      <c r="E34" s="292"/>
      <c r="F34" s="293"/>
      <c r="G34" s="293"/>
      <c r="H34" s="53"/>
      <c r="I34" s="290"/>
      <c r="J34" s="290"/>
      <c r="K34" s="290"/>
      <c r="L34" s="294"/>
      <c r="M34" s="290"/>
      <c r="N34" s="290"/>
      <c r="O34" s="290"/>
      <c r="P34" s="290"/>
      <c r="Q34" s="290"/>
      <c r="R34" s="290"/>
      <c r="S34" s="294"/>
      <c r="T34" s="291"/>
      <c r="U34" s="291"/>
      <c r="V34" s="290"/>
      <c r="AC34" s="291"/>
      <c r="AD34" s="291"/>
      <c r="AE34" s="291"/>
      <c r="AF34" s="290"/>
      <c r="AG34" s="291"/>
      <c r="AH34" s="291"/>
      <c r="AI34" s="291"/>
      <c r="AJ34" s="290"/>
      <c r="AK34" s="291"/>
      <c r="AL34" s="295"/>
      <c r="AM34" s="295"/>
      <c r="AN34" s="276"/>
    </row>
    <row r="35" spans="1:40" x14ac:dyDescent="0.3">
      <c r="A35" s="54"/>
      <c r="Z35" s="290"/>
      <c r="AA35" s="291"/>
      <c r="AB35" s="290"/>
    </row>
    <row r="36" spans="1:40" x14ac:dyDescent="0.3">
      <c r="B36" s="55"/>
      <c r="C36" s="56"/>
      <c r="D36" s="56"/>
      <c r="E36" s="296"/>
      <c r="F36" s="297"/>
      <c r="G36" s="297"/>
      <c r="H36" s="56"/>
      <c r="I36" s="298"/>
      <c r="J36" s="53"/>
      <c r="K36" s="298"/>
      <c r="L36" s="299"/>
      <c r="M36" s="53"/>
      <c r="N36" s="53"/>
      <c r="O36" s="53"/>
      <c r="P36" s="53"/>
      <c r="Q36" s="53"/>
      <c r="R36" s="298"/>
      <c r="S36" s="299"/>
      <c r="T36" s="290"/>
      <c r="U36" s="290"/>
      <c r="V36" s="290"/>
      <c r="AC36" s="295"/>
      <c r="AD36" s="290"/>
      <c r="AE36" s="290"/>
      <c r="AF36" s="290"/>
      <c r="AG36" s="291"/>
      <c r="AH36" s="291"/>
      <c r="AI36" s="300"/>
      <c r="AJ36" s="300"/>
      <c r="AK36" s="1"/>
      <c r="AL36" s="276"/>
      <c r="AM36" s="301"/>
      <c r="AN36" s="276"/>
    </row>
    <row r="37" spans="1:40" x14ac:dyDescent="0.3">
      <c r="A37" s="57"/>
    </row>
    <row r="38" spans="1:40" x14ac:dyDescent="0.3">
      <c r="Z38" s="300"/>
      <c r="AA38" s="1"/>
      <c r="AB38" s="302"/>
    </row>
    <row r="39" spans="1:40" x14ac:dyDescent="0.3">
      <c r="B39" s="57"/>
      <c r="C39" s="57"/>
      <c r="D39" s="57"/>
      <c r="E39" s="296"/>
      <c r="F39" s="297"/>
      <c r="G39" s="297"/>
      <c r="H39" s="56"/>
      <c r="I39" s="298"/>
      <c r="J39" s="53"/>
      <c r="K39" s="298"/>
      <c r="L39" s="299"/>
      <c r="M39" s="53"/>
      <c r="N39" s="53"/>
      <c r="O39" s="53"/>
      <c r="P39" s="53"/>
      <c r="Q39" s="53"/>
      <c r="R39" s="298"/>
      <c r="S39" s="299"/>
      <c r="T39" s="53"/>
      <c r="U39" s="53"/>
      <c r="V39" s="300"/>
      <c r="AC39" s="303"/>
      <c r="AD39" s="300"/>
      <c r="AE39" s="300"/>
      <c r="AF39" s="300"/>
      <c r="AG39" s="1"/>
      <c r="AH39" s="1"/>
      <c r="AI39" s="300"/>
      <c r="AJ39" s="300"/>
      <c r="AK39" s="1"/>
      <c r="AL39" s="276"/>
      <c r="AM39" s="301"/>
      <c r="AN39" s="276"/>
    </row>
    <row r="40" spans="1:40" x14ac:dyDescent="0.3">
      <c r="A40" s="57"/>
      <c r="Z40" s="304"/>
      <c r="AA40" s="304"/>
      <c r="AB40" s="305"/>
    </row>
    <row r="41" spans="1:40" x14ac:dyDescent="0.3">
      <c r="B41" s="52"/>
      <c r="C41" s="53"/>
      <c r="D41" s="53"/>
      <c r="E41" s="292"/>
      <c r="F41" s="277"/>
      <c r="G41" s="293"/>
      <c r="H41" s="58"/>
      <c r="I41" s="305"/>
      <c r="J41" s="304"/>
      <c r="K41" s="305"/>
      <c r="L41" s="305"/>
      <c r="M41" s="304"/>
      <c r="N41" s="304"/>
      <c r="O41" s="304"/>
      <c r="P41" s="304"/>
      <c r="Q41" s="304"/>
      <c r="R41" s="305"/>
      <c r="S41" s="305"/>
      <c r="T41" s="304"/>
      <c r="U41" s="304"/>
      <c r="V41" s="304"/>
      <c r="AC41" s="305"/>
      <c r="AD41" s="304"/>
      <c r="AE41" s="304"/>
      <c r="AF41" s="304"/>
      <c r="AG41" s="304"/>
      <c r="AH41" s="304"/>
      <c r="AI41" s="304"/>
      <c r="AJ41" s="304"/>
      <c r="AK41" s="304"/>
      <c r="AL41" s="304"/>
      <c r="AM41" s="305"/>
      <c r="AN41" s="276"/>
    </row>
    <row r="42" spans="1:40" x14ac:dyDescent="0.3">
      <c r="A42" s="54"/>
    </row>
  </sheetData>
  <mergeCells count="18">
    <mergeCell ref="E31:P31"/>
    <mergeCell ref="AF10:AJ10"/>
    <mergeCell ref="I11:V11"/>
    <mergeCell ref="X11:AM11"/>
    <mergeCell ref="Y15:AJ15"/>
    <mergeCell ref="I21:AB21"/>
    <mergeCell ref="AD21:AL21"/>
    <mergeCell ref="I24:AF24"/>
    <mergeCell ref="AJ24:AM24"/>
    <mergeCell ref="E27:Q27"/>
    <mergeCell ref="D29:G29"/>
    <mergeCell ref="E30:P30"/>
    <mergeCell ref="I9:AK9"/>
    <mergeCell ref="A1:C1"/>
    <mergeCell ref="A3:C3"/>
    <mergeCell ref="A4:C4"/>
    <mergeCell ref="G4:AF4"/>
    <mergeCell ref="R8:A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workbookViewId="0">
      <selection activeCell="D13" sqref="D13"/>
    </sheetView>
  </sheetViews>
  <sheetFormatPr baseColWidth="10" defaultRowHeight="14.4" x14ac:dyDescent="0.3"/>
  <cols>
    <col min="1" max="1" width="8.5546875" customWidth="1"/>
    <col min="9" max="19" width="3" bestFit="1" customWidth="1"/>
    <col min="20" max="20" width="3.5546875" bestFit="1" customWidth="1"/>
    <col min="21" max="39" width="3" bestFit="1" customWidth="1"/>
    <col min="40" max="40" width="7.5546875" customWidth="1"/>
  </cols>
  <sheetData>
    <row r="1" spans="1:43" ht="30" customHeight="1" x14ac:dyDescent="0.3">
      <c r="A1" s="1042" t="s">
        <v>273</v>
      </c>
      <c r="B1" s="1043"/>
      <c r="C1" s="1043"/>
      <c r="D1" s="1043"/>
      <c r="E1" s="1044"/>
      <c r="F1" s="1048" t="s">
        <v>4</v>
      </c>
      <c r="G1" s="1049"/>
      <c r="H1" s="1049"/>
      <c r="I1" s="1049"/>
      <c r="J1" s="1049"/>
      <c r="K1" s="1049"/>
      <c r="L1" s="1049"/>
      <c r="M1" s="1049"/>
      <c r="N1" s="1049"/>
      <c r="O1" s="1049"/>
      <c r="P1" s="1049"/>
      <c r="Q1" s="1049"/>
      <c r="R1" s="1049"/>
      <c r="S1" s="1049"/>
      <c r="T1" s="1049"/>
      <c r="U1" s="1049"/>
      <c r="V1" s="1049"/>
      <c r="W1" s="1049"/>
      <c r="X1" s="1049"/>
      <c r="Y1" s="1049"/>
      <c r="Z1" s="1049"/>
      <c r="AA1" s="1049"/>
      <c r="AB1" s="1049"/>
      <c r="AC1" s="1049"/>
      <c r="AD1" s="1049"/>
      <c r="AE1" s="1050"/>
      <c r="AF1" s="1051" t="s">
        <v>2</v>
      </c>
      <c r="AG1" s="1052"/>
      <c r="AH1" s="1052"/>
      <c r="AI1" s="1052"/>
      <c r="AJ1" s="1052"/>
      <c r="AK1" s="1052"/>
      <c r="AL1" s="1052"/>
      <c r="AM1" s="1052"/>
      <c r="AN1" s="1052"/>
      <c r="AO1" s="1053"/>
      <c r="AP1" s="7"/>
      <c r="AQ1" s="7"/>
    </row>
    <row r="2" spans="1:43" ht="3.75" customHeight="1" x14ac:dyDescent="0.3">
      <c r="A2" s="1045"/>
      <c r="B2" s="1046"/>
      <c r="C2" s="1046"/>
      <c r="D2" s="1046"/>
      <c r="E2" s="1047"/>
      <c r="F2" s="1054" t="s">
        <v>274</v>
      </c>
      <c r="G2" s="1055"/>
      <c r="H2" s="1055"/>
      <c r="I2" s="1055"/>
      <c r="J2" s="1055"/>
      <c r="K2" s="1055"/>
      <c r="L2" s="1055"/>
      <c r="M2" s="1055"/>
      <c r="N2" s="1055"/>
      <c r="O2" s="1055"/>
      <c r="P2" s="1055"/>
      <c r="Q2" s="1055"/>
      <c r="R2" s="1055"/>
      <c r="S2" s="1055"/>
      <c r="T2" s="1055"/>
      <c r="U2" s="1055"/>
      <c r="V2" s="1055"/>
      <c r="W2" s="1055"/>
      <c r="X2" s="1055"/>
      <c r="Y2" s="1055"/>
      <c r="Z2" s="1055"/>
      <c r="AA2" s="1055"/>
      <c r="AB2" s="1055"/>
      <c r="AC2" s="1055"/>
      <c r="AD2" s="1055"/>
      <c r="AE2" s="1056"/>
      <c r="AF2" s="1057" t="s">
        <v>275</v>
      </c>
      <c r="AG2" s="1058"/>
      <c r="AH2" s="1058"/>
      <c r="AI2" s="1058"/>
      <c r="AJ2" s="1058"/>
      <c r="AK2" s="1058"/>
      <c r="AL2" s="1058"/>
      <c r="AM2" s="1058"/>
      <c r="AN2" s="1058"/>
      <c r="AO2" s="1059"/>
      <c r="AP2" s="7"/>
      <c r="AQ2" s="7"/>
    </row>
    <row r="3" spans="1:43" s="4" customFormat="1" ht="13.8" x14ac:dyDescent="0.3">
      <c r="A3" s="1063" t="s">
        <v>126</v>
      </c>
      <c r="B3" s="1065" t="s">
        <v>127</v>
      </c>
      <c r="C3" s="1065" t="s">
        <v>8</v>
      </c>
      <c r="D3" s="1067" t="s">
        <v>9</v>
      </c>
      <c r="E3" s="1069" t="s">
        <v>10</v>
      </c>
      <c r="F3" s="328" t="s">
        <v>11</v>
      </c>
      <c r="G3" s="329" t="s">
        <v>129</v>
      </c>
      <c r="H3" s="1071" t="s">
        <v>130</v>
      </c>
      <c r="I3" s="330">
        <v>1</v>
      </c>
      <c r="J3" s="330">
        <v>2</v>
      </c>
      <c r="K3" s="330">
        <v>3</v>
      </c>
      <c r="L3" s="330">
        <v>4</v>
      </c>
      <c r="M3" s="330">
        <v>5</v>
      </c>
      <c r="N3" s="330">
        <v>6</v>
      </c>
      <c r="O3" s="330">
        <v>7</v>
      </c>
      <c r="P3" s="330">
        <v>8</v>
      </c>
      <c r="Q3" s="330">
        <v>9</v>
      </c>
      <c r="R3" s="330">
        <v>10</v>
      </c>
      <c r="S3" s="330">
        <v>11</v>
      </c>
      <c r="T3" s="330">
        <v>12</v>
      </c>
      <c r="U3" s="330">
        <v>13</v>
      </c>
      <c r="V3" s="330">
        <v>14</v>
      </c>
      <c r="W3" s="330">
        <v>15</v>
      </c>
      <c r="X3" s="330">
        <v>16</v>
      </c>
      <c r="Y3" s="330">
        <v>17</v>
      </c>
      <c r="Z3" s="330">
        <v>18</v>
      </c>
      <c r="AA3" s="330">
        <v>19</v>
      </c>
      <c r="AB3" s="330">
        <v>20</v>
      </c>
      <c r="AC3" s="330">
        <v>21</v>
      </c>
      <c r="AD3" s="330">
        <v>22</v>
      </c>
      <c r="AE3" s="330">
        <v>23</v>
      </c>
      <c r="AF3" s="331">
        <v>24</v>
      </c>
      <c r="AG3" s="331">
        <v>25</v>
      </c>
      <c r="AH3" s="331">
        <v>26</v>
      </c>
      <c r="AI3" s="331">
        <v>27</v>
      </c>
      <c r="AJ3" s="331">
        <v>28</v>
      </c>
      <c r="AK3" s="331">
        <v>29</v>
      </c>
      <c r="AL3" s="331">
        <v>30</v>
      </c>
      <c r="AM3" s="331">
        <v>31</v>
      </c>
      <c r="AN3" s="1073" t="s">
        <v>131</v>
      </c>
    </row>
    <row r="4" spans="1:43" s="4" customFormat="1" thickBot="1" x14ac:dyDescent="0.35">
      <c r="A4" s="1064"/>
      <c r="B4" s="1066"/>
      <c r="C4" s="1066"/>
      <c r="D4" s="1068"/>
      <c r="E4" s="1070"/>
      <c r="F4" s="328" t="s">
        <v>14</v>
      </c>
      <c r="G4" s="332" t="s">
        <v>15</v>
      </c>
      <c r="H4" s="1072"/>
      <c r="I4" s="331" t="s">
        <v>16</v>
      </c>
      <c r="J4" s="331" t="s">
        <v>17</v>
      </c>
      <c r="K4" s="331" t="s">
        <v>18</v>
      </c>
      <c r="L4" s="331" t="s">
        <v>19</v>
      </c>
      <c r="M4" s="331" t="s">
        <v>19</v>
      </c>
      <c r="N4" s="331" t="s">
        <v>20</v>
      </c>
      <c r="O4" s="331" t="s">
        <v>21</v>
      </c>
      <c r="P4" s="331" t="s">
        <v>16</v>
      </c>
      <c r="Q4" s="331" t="s">
        <v>17</v>
      </c>
      <c r="R4" s="331" t="s">
        <v>18</v>
      </c>
      <c r="S4" s="331" t="s">
        <v>19</v>
      </c>
      <c r="T4" s="331" t="s">
        <v>19</v>
      </c>
      <c r="U4" s="331" t="s">
        <v>20</v>
      </c>
      <c r="V4" s="331" t="s">
        <v>21</v>
      </c>
      <c r="W4" s="331" t="s">
        <v>16</v>
      </c>
      <c r="X4" s="331" t="s">
        <v>17</v>
      </c>
      <c r="Y4" s="331" t="s">
        <v>18</v>
      </c>
      <c r="Z4" s="331" t="s">
        <v>19</v>
      </c>
      <c r="AA4" s="331" t="s">
        <v>19</v>
      </c>
      <c r="AB4" s="331" t="s">
        <v>20</v>
      </c>
      <c r="AC4" s="331" t="s">
        <v>21</v>
      </c>
      <c r="AD4" s="331" t="s">
        <v>16</v>
      </c>
      <c r="AE4" s="331" t="s">
        <v>17</v>
      </c>
      <c r="AF4" s="333" t="s">
        <v>18</v>
      </c>
      <c r="AG4" s="333" t="s">
        <v>19</v>
      </c>
      <c r="AH4" s="334" t="s">
        <v>19</v>
      </c>
      <c r="AI4" s="334" t="s">
        <v>20</v>
      </c>
      <c r="AJ4" s="334" t="s">
        <v>21</v>
      </c>
      <c r="AK4" s="335" t="s">
        <v>16</v>
      </c>
      <c r="AL4" s="335" t="s">
        <v>17</v>
      </c>
      <c r="AM4" s="335" t="s">
        <v>18</v>
      </c>
      <c r="AN4" s="1074"/>
    </row>
    <row r="5" spans="1:43" s="4" customFormat="1" ht="41.4" x14ac:dyDescent="0.3">
      <c r="A5" s="336">
        <v>6036072</v>
      </c>
      <c r="B5" s="337" t="s">
        <v>276</v>
      </c>
      <c r="C5" s="337" t="s">
        <v>277</v>
      </c>
      <c r="D5" s="337" t="s">
        <v>278</v>
      </c>
      <c r="E5" s="338" t="s">
        <v>279</v>
      </c>
      <c r="F5" s="339">
        <v>0.33333333333333331</v>
      </c>
      <c r="G5" s="339" t="s">
        <v>280</v>
      </c>
      <c r="H5" s="336">
        <v>75349913</v>
      </c>
      <c r="I5" s="340"/>
      <c r="J5" s="340"/>
      <c r="K5" s="1060" t="s">
        <v>281</v>
      </c>
      <c r="L5" s="1061"/>
      <c r="M5" s="1061"/>
      <c r="N5" s="1061"/>
      <c r="O5" s="1061"/>
      <c r="P5" s="1061"/>
      <c r="Q5" s="1061"/>
      <c r="R5" s="1061"/>
      <c r="S5" s="1061"/>
      <c r="T5" s="1061"/>
      <c r="U5" s="1061"/>
      <c r="V5" s="1061"/>
      <c r="W5" s="1061"/>
      <c r="X5" s="1061"/>
      <c r="Y5" s="1061"/>
      <c r="Z5" s="1062"/>
      <c r="AA5" s="340">
        <v>6</v>
      </c>
      <c r="AB5" s="340">
        <v>6</v>
      </c>
      <c r="AC5" s="340">
        <v>6</v>
      </c>
      <c r="AD5" s="340"/>
      <c r="AE5" s="340"/>
      <c r="AF5" s="340">
        <v>6</v>
      </c>
      <c r="AG5" s="340">
        <v>6</v>
      </c>
      <c r="AH5" s="340">
        <v>6</v>
      </c>
      <c r="AI5" s="340">
        <v>6</v>
      </c>
      <c r="AJ5" s="340">
        <v>6</v>
      </c>
      <c r="AK5" s="340"/>
      <c r="AL5" s="340"/>
      <c r="AM5" s="340">
        <v>6</v>
      </c>
      <c r="AN5" s="59">
        <v>54</v>
      </c>
    </row>
    <row r="6" spans="1:43" s="4" customFormat="1" ht="41.4" x14ac:dyDescent="0.3">
      <c r="A6" s="341">
        <v>6393636</v>
      </c>
      <c r="B6" s="342" t="s">
        <v>282</v>
      </c>
      <c r="C6" s="342" t="s">
        <v>55</v>
      </c>
      <c r="D6" s="342" t="s">
        <v>283</v>
      </c>
      <c r="E6" s="63" t="s">
        <v>284</v>
      </c>
      <c r="F6" s="343">
        <v>0.3125</v>
      </c>
      <c r="G6" s="343" t="s">
        <v>285</v>
      </c>
      <c r="H6" s="341">
        <v>73169295</v>
      </c>
      <c r="I6" s="344"/>
      <c r="J6" s="344"/>
      <c r="K6" s="344">
        <v>6</v>
      </c>
      <c r="L6" s="344">
        <v>6</v>
      </c>
      <c r="M6" s="344">
        <v>6</v>
      </c>
      <c r="N6" s="344"/>
      <c r="O6" s="344"/>
      <c r="P6" s="344"/>
      <c r="Q6" s="344"/>
      <c r="R6" s="344">
        <v>6</v>
      </c>
      <c r="S6" s="344">
        <v>6</v>
      </c>
      <c r="T6" s="344">
        <v>6</v>
      </c>
      <c r="U6" s="344">
        <v>6</v>
      </c>
      <c r="V6" s="344">
        <v>6</v>
      </c>
      <c r="W6" s="344"/>
      <c r="X6" s="344"/>
      <c r="Y6" s="344">
        <v>6</v>
      </c>
      <c r="Z6" s="345">
        <v>6</v>
      </c>
      <c r="AA6" s="1075" t="s">
        <v>281</v>
      </c>
      <c r="AB6" s="1076"/>
      <c r="AC6" s="1076"/>
      <c r="AD6" s="1076"/>
      <c r="AE6" s="1076"/>
      <c r="AF6" s="1076"/>
      <c r="AG6" s="1076"/>
      <c r="AH6" s="1076"/>
      <c r="AI6" s="1076"/>
      <c r="AJ6" s="1076"/>
      <c r="AK6" s="1076"/>
      <c r="AL6" s="1076"/>
      <c r="AM6" s="1077"/>
      <c r="AN6" s="60">
        <v>60</v>
      </c>
    </row>
    <row r="7" spans="1:43" s="4" customFormat="1" ht="13.8" x14ac:dyDescent="0.3">
      <c r="A7" s="331"/>
      <c r="B7" s="346"/>
      <c r="C7" s="346"/>
      <c r="D7" s="346"/>
      <c r="E7" s="62"/>
      <c r="F7" s="347"/>
      <c r="G7" s="347"/>
      <c r="H7" s="331"/>
      <c r="I7" s="344"/>
      <c r="J7" s="344"/>
      <c r="K7" s="348"/>
      <c r="L7" s="348"/>
      <c r="M7" s="348"/>
      <c r="N7" s="344"/>
      <c r="O7" s="344"/>
      <c r="P7" s="344"/>
      <c r="Q7" s="344"/>
      <c r="R7" s="348"/>
      <c r="S7" s="348"/>
      <c r="T7" s="348"/>
      <c r="U7" s="348"/>
      <c r="V7" s="348"/>
      <c r="W7" s="344"/>
      <c r="X7" s="344"/>
      <c r="Y7" s="348"/>
      <c r="Z7" s="349"/>
      <c r="AA7" s="349"/>
      <c r="AB7" s="349"/>
      <c r="AC7" s="349"/>
      <c r="AD7" s="345"/>
      <c r="AE7" s="345"/>
      <c r="AF7" s="349"/>
      <c r="AG7" s="349"/>
      <c r="AH7" s="349"/>
      <c r="AI7" s="349"/>
      <c r="AJ7" s="349"/>
      <c r="AK7" s="345"/>
      <c r="AL7" s="345"/>
      <c r="AM7" s="349"/>
      <c r="AN7" s="61"/>
    </row>
    <row r="8" spans="1:43" s="4" customFormat="1" ht="13.8" x14ac:dyDescent="0.3">
      <c r="A8" s="62">
        <v>11367901</v>
      </c>
      <c r="B8" s="350" t="s">
        <v>286</v>
      </c>
      <c r="C8" s="350" t="s">
        <v>217</v>
      </c>
      <c r="D8" s="350" t="s">
        <v>287</v>
      </c>
      <c r="E8" s="351" t="s">
        <v>288</v>
      </c>
      <c r="F8" s="347">
        <v>0.3125</v>
      </c>
      <c r="G8" s="347" t="s">
        <v>285</v>
      </c>
      <c r="H8" s="34">
        <v>73628942</v>
      </c>
      <c r="I8" s="1060" t="s">
        <v>289</v>
      </c>
      <c r="J8" s="1061"/>
      <c r="K8" s="1061"/>
      <c r="L8" s="1061"/>
      <c r="M8" s="1061"/>
      <c r="N8" s="1061"/>
      <c r="O8" s="1061"/>
      <c r="P8" s="1061"/>
      <c r="Q8" s="1061"/>
      <c r="R8" s="1061"/>
      <c r="S8" s="1061"/>
      <c r="T8" s="1061"/>
      <c r="U8" s="1061"/>
      <c r="V8" s="1061"/>
      <c r="W8" s="1061"/>
      <c r="X8" s="1061"/>
      <c r="Y8" s="1061"/>
      <c r="Z8" s="1061"/>
      <c r="AA8" s="1061"/>
      <c r="AB8" s="1061"/>
      <c r="AC8" s="1061"/>
      <c r="AD8" s="1061"/>
      <c r="AE8" s="1061"/>
      <c r="AF8" s="1061"/>
      <c r="AG8" s="1061"/>
      <c r="AH8" s="1061"/>
      <c r="AI8" s="1061"/>
      <c r="AJ8" s="1061"/>
      <c r="AK8" s="1061"/>
      <c r="AL8" s="1061"/>
      <c r="AM8" s="1062"/>
      <c r="AN8" s="61"/>
    </row>
    <row r="9" spans="1:43" s="4" customFormat="1" ht="13.8" x14ac:dyDescent="0.3">
      <c r="A9" s="331">
        <v>4549943</v>
      </c>
      <c r="B9" s="352" t="s">
        <v>290</v>
      </c>
      <c r="C9" s="352" t="s">
        <v>291</v>
      </c>
      <c r="D9" s="352" t="s">
        <v>292</v>
      </c>
      <c r="E9" s="353" t="s">
        <v>293</v>
      </c>
      <c r="F9" s="347">
        <v>0.3125</v>
      </c>
      <c r="G9" s="347" t="s">
        <v>285</v>
      </c>
      <c r="H9" s="331">
        <v>70026267</v>
      </c>
      <c r="I9" s="354"/>
      <c r="J9" s="354"/>
      <c r="K9" s="355">
        <v>6</v>
      </c>
      <c r="L9" s="355">
        <v>6</v>
      </c>
      <c r="M9" s="355">
        <v>6</v>
      </c>
      <c r="N9" s="354"/>
      <c r="O9" s="354"/>
      <c r="P9" s="354"/>
      <c r="Q9" s="354"/>
      <c r="R9" s="355">
        <v>6</v>
      </c>
      <c r="S9" s="355">
        <v>6</v>
      </c>
      <c r="T9" s="355" t="s">
        <v>294</v>
      </c>
      <c r="U9" s="355">
        <v>6</v>
      </c>
      <c r="V9" s="355">
        <v>6</v>
      </c>
      <c r="W9" s="354"/>
      <c r="X9" s="354"/>
      <c r="Y9" s="355">
        <v>6</v>
      </c>
      <c r="Z9" s="355">
        <v>6</v>
      </c>
      <c r="AA9" s="355">
        <v>6</v>
      </c>
      <c r="AB9" s="355">
        <v>6</v>
      </c>
      <c r="AC9" s="355">
        <v>6</v>
      </c>
      <c r="AD9" s="354"/>
      <c r="AE9" s="354"/>
      <c r="AF9" s="355">
        <v>6</v>
      </c>
      <c r="AG9" s="355">
        <v>6</v>
      </c>
      <c r="AH9" s="355">
        <v>6</v>
      </c>
      <c r="AI9" s="355">
        <v>6</v>
      </c>
      <c r="AJ9" s="355">
        <v>6</v>
      </c>
      <c r="AK9" s="354"/>
      <c r="AL9" s="354"/>
      <c r="AM9" s="355">
        <v>6</v>
      </c>
      <c r="AN9" s="61">
        <v>114</v>
      </c>
    </row>
    <row r="10" spans="1:43" s="4" customFormat="1" ht="13.8" x14ac:dyDescent="0.3">
      <c r="A10" s="331">
        <v>6300969</v>
      </c>
      <c r="B10" s="352" t="s">
        <v>295</v>
      </c>
      <c r="C10" s="352" t="s">
        <v>296</v>
      </c>
      <c r="D10" s="352" t="s">
        <v>297</v>
      </c>
      <c r="E10" s="353" t="s">
        <v>293</v>
      </c>
      <c r="F10" s="347">
        <v>0.3125</v>
      </c>
      <c r="G10" s="347" t="s">
        <v>285</v>
      </c>
      <c r="H10" s="331">
        <v>70893555</v>
      </c>
      <c r="I10" s="354"/>
      <c r="J10" s="354"/>
      <c r="K10" s="355">
        <v>6</v>
      </c>
      <c r="L10" s="355">
        <v>6</v>
      </c>
      <c r="M10" s="355">
        <v>6</v>
      </c>
      <c r="N10" s="354"/>
      <c r="O10" s="354"/>
      <c r="P10" s="354"/>
      <c r="Q10" s="354"/>
      <c r="R10" s="355">
        <v>6</v>
      </c>
      <c r="S10" s="355">
        <v>6</v>
      </c>
      <c r="T10" s="355">
        <v>6</v>
      </c>
      <c r="U10" s="355">
        <v>6</v>
      </c>
      <c r="V10" s="355">
        <v>6</v>
      </c>
      <c r="W10" s="354"/>
      <c r="X10" s="354"/>
      <c r="Y10" s="355">
        <v>6</v>
      </c>
      <c r="Z10" s="355">
        <v>6</v>
      </c>
      <c r="AA10" s="355">
        <v>6</v>
      </c>
      <c r="AB10" s="355">
        <v>6</v>
      </c>
      <c r="AC10" s="355">
        <v>6</v>
      </c>
      <c r="AD10" s="354"/>
      <c r="AE10" s="354"/>
      <c r="AF10" s="355">
        <v>6</v>
      </c>
      <c r="AG10" s="355">
        <v>6</v>
      </c>
      <c r="AH10" s="355">
        <v>6</v>
      </c>
      <c r="AI10" s="355">
        <v>6</v>
      </c>
      <c r="AJ10" s="355">
        <v>6</v>
      </c>
      <c r="AK10" s="354"/>
      <c r="AL10" s="354"/>
      <c r="AM10" s="355">
        <v>6</v>
      </c>
      <c r="AN10" s="62">
        <v>114</v>
      </c>
    </row>
    <row r="11" spans="1:43" s="4" customFormat="1" ht="13.8" x14ac:dyDescent="0.3">
      <c r="A11" s="331">
        <v>8222698</v>
      </c>
      <c r="B11" s="356" t="s">
        <v>298</v>
      </c>
      <c r="C11" s="356" t="s">
        <v>299</v>
      </c>
      <c r="D11" s="356" t="s">
        <v>300</v>
      </c>
      <c r="E11" s="351" t="s">
        <v>288</v>
      </c>
      <c r="F11" s="347">
        <v>0.3125</v>
      </c>
      <c r="G11" s="347" t="s">
        <v>285</v>
      </c>
      <c r="H11" s="331">
        <v>74621569</v>
      </c>
      <c r="I11" s="354"/>
      <c r="J11" s="354"/>
      <c r="K11" s="355">
        <v>6</v>
      </c>
      <c r="L11" s="355">
        <v>6</v>
      </c>
      <c r="M11" s="355">
        <v>6</v>
      </c>
      <c r="N11" s="354"/>
      <c r="O11" s="354"/>
      <c r="P11" s="354"/>
      <c r="Q11" s="354"/>
      <c r="R11" s="355">
        <v>6</v>
      </c>
      <c r="S11" s="355">
        <v>6</v>
      </c>
      <c r="T11" s="355">
        <v>6</v>
      </c>
      <c r="U11" s="355">
        <v>6</v>
      </c>
      <c r="V11" s="355">
        <v>6</v>
      </c>
      <c r="W11" s="354"/>
      <c r="X11" s="354"/>
      <c r="Y11" s="355">
        <v>6</v>
      </c>
      <c r="Z11" s="355">
        <v>6</v>
      </c>
      <c r="AA11" s="355">
        <v>6</v>
      </c>
      <c r="AB11" s="355">
        <v>6</v>
      </c>
      <c r="AC11" s="355">
        <v>6</v>
      </c>
      <c r="AD11" s="354"/>
      <c r="AE11" s="354"/>
      <c r="AF11" s="355">
        <v>6</v>
      </c>
      <c r="AG11" s="355">
        <v>6</v>
      </c>
      <c r="AH11" s="355">
        <v>6</v>
      </c>
      <c r="AI11" s="355">
        <v>6</v>
      </c>
      <c r="AJ11" s="355">
        <v>6</v>
      </c>
      <c r="AK11" s="354"/>
      <c r="AL11" s="354"/>
      <c r="AM11" s="355">
        <v>6</v>
      </c>
      <c r="AN11" s="62">
        <v>114</v>
      </c>
    </row>
    <row r="12" spans="1:43" s="4" customFormat="1" ht="13.8" x14ac:dyDescent="0.3">
      <c r="A12" s="331">
        <v>8218268</v>
      </c>
      <c r="B12" s="352" t="s">
        <v>301</v>
      </c>
      <c r="C12" s="352" t="s">
        <v>302</v>
      </c>
      <c r="D12" s="352" t="s">
        <v>303</v>
      </c>
      <c r="E12" s="353" t="s">
        <v>293</v>
      </c>
      <c r="F12" s="347">
        <v>0.3125</v>
      </c>
      <c r="G12" s="347" t="s">
        <v>285</v>
      </c>
      <c r="H12" s="331">
        <v>77007803</v>
      </c>
      <c r="I12" s="354"/>
      <c r="J12" s="354"/>
      <c r="K12" s="355">
        <v>6</v>
      </c>
      <c r="L12" s="355">
        <v>6</v>
      </c>
      <c r="M12" s="355">
        <v>6</v>
      </c>
      <c r="N12" s="354"/>
      <c r="O12" s="354"/>
      <c r="P12" s="354"/>
      <c r="Q12" s="354"/>
      <c r="R12" s="355">
        <v>6</v>
      </c>
      <c r="S12" s="355">
        <v>6</v>
      </c>
      <c r="T12" s="355">
        <v>6</v>
      </c>
      <c r="U12" s="355">
        <v>6</v>
      </c>
      <c r="V12" s="355">
        <v>6</v>
      </c>
      <c r="W12" s="354"/>
      <c r="X12" s="354"/>
      <c r="Y12" s="355">
        <v>6</v>
      </c>
      <c r="Z12" s="355">
        <v>6</v>
      </c>
      <c r="AA12" s="355">
        <v>6</v>
      </c>
      <c r="AB12" s="355">
        <v>6</v>
      </c>
      <c r="AC12" s="355">
        <v>6</v>
      </c>
      <c r="AD12" s="354"/>
      <c r="AE12" s="354"/>
      <c r="AF12" s="355">
        <v>6</v>
      </c>
      <c r="AG12" s="355">
        <v>6</v>
      </c>
      <c r="AH12" s="355">
        <v>6</v>
      </c>
      <c r="AI12" s="355">
        <v>6</v>
      </c>
      <c r="AJ12" s="355">
        <v>6</v>
      </c>
      <c r="AK12" s="354"/>
      <c r="AL12" s="354"/>
      <c r="AM12" s="355">
        <v>6</v>
      </c>
      <c r="AN12" s="62">
        <v>114</v>
      </c>
    </row>
    <row r="13" spans="1:43" s="4" customFormat="1" ht="41.4" x14ac:dyDescent="0.3">
      <c r="A13" s="341">
        <v>6272098</v>
      </c>
      <c r="B13" s="342" t="s">
        <v>304</v>
      </c>
      <c r="C13" s="342" t="s">
        <v>305</v>
      </c>
      <c r="D13" s="342" t="s">
        <v>306</v>
      </c>
      <c r="E13" s="63" t="s">
        <v>284</v>
      </c>
      <c r="F13" s="343" t="s">
        <v>285</v>
      </c>
      <c r="G13" s="343" t="s">
        <v>307</v>
      </c>
      <c r="H13" s="341">
        <v>78016617</v>
      </c>
      <c r="I13" s="344"/>
      <c r="J13" s="344"/>
      <c r="K13" s="344">
        <v>6</v>
      </c>
      <c r="L13" s="344">
        <v>6</v>
      </c>
      <c r="M13" s="344">
        <v>6</v>
      </c>
      <c r="N13" s="344"/>
      <c r="O13" s="344"/>
      <c r="P13" s="344"/>
      <c r="Q13" s="344"/>
      <c r="R13" s="344">
        <v>6</v>
      </c>
      <c r="S13" s="344">
        <v>6</v>
      </c>
      <c r="T13" s="344">
        <v>6</v>
      </c>
      <c r="U13" s="344">
        <v>6</v>
      </c>
      <c r="V13" s="344">
        <v>6</v>
      </c>
      <c r="W13" s="344"/>
      <c r="X13" s="344"/>
      <c r="Y13" s="344">
        <v>6</v>
      </c>
      <c r="Z13" s="344">
        <v>6</v>
      </c>
      <c r="AA13" s="344">
        <v>6</v>
      </c>
      <c r="AB13" s="344">
        <v>6</v>
      </c>
      <c r="AC13" s="344">
        <v>6</v>
      </c>
      <c r="AD13" s="344"/>
      <c r="AE13" s="344"/>
      <c r="AF13" s="344">
        <v>6</v>
      </c>
      <c r="AG13" s="344">
        <v>6</v>
      </c>
      <c r="AH13" s="344">
        <v>6</v>
      </c>
      <c r="AI13" s="344">
        <v>6</v>
      </c>
      <c r="AJ13" s="344">
        <v>6</v>
      </c>
      <c r="AK13" s="344"/>
      <c r="AL13" s="344"/>
      <c r="AM13" s="344">
        <v>6</v>
      </c>
      <c r="AN13" s="60">
        <v>114</v>
      </c>
    </row>
    <row r="14" spans="1:43" s="4" customFormat="1" ht="13.8" x14ac:dyDescent="0.3">
      <c r="A14" s="331">
        <v>5376709</v>
      </c>
      <c r="B14" s="356" t="s">
        <v>308</v>
      </c>
      <c r="C14" s="356" t="s">
        <v>74</v>
      </c>
      <c r="D14" s="356" t="s">
        <v>309</v>
      </c>
      <c r="E14" s="357" t="s">
        <v>288</v>
      </c>
      <c r="F14" s="347" t="s">
        <v>285</v>
      </c>
      <c r="G14" s="347" t="s">
        <v>307</v>
      </c>
      <c r="H14" s="62">
        <v>75067647</v>
      </c>
      <c r="I14" s="354"/>
      <c r="J14" s="354"/>
      <c r="K14" s="355">
        <v>6</v>
      </c>
      <c r="L14" s="355">
        <v>6</v>
      </c>
      <c r="M14" s="355">
        <v>6</v>
      </c>
      <c r="N14" s="354"/>
      <c r="O14" s="354"/>
      <c r="P14" s="354"/>
      <c r="Q14" s="354"/>
      <c r="R14" s="355">
        <v>6</v>
      </c>
      <c r="S14" s="355">
        <v>6</v>
      </c>
      <c r="T14" s="355">
        <v>6</v>
      </c>
      <c r="U14" s="355">
        <v>6</v>
      </c>
      <c r="V14" s="355">
        <v>6</v>
      </c>
      <c r="W14" s="354"/>
      <c r="X14" s="354"/>
      <c r="Y14" s="355">
        <v>6</v>
      </c>
      <c r="Z14" s="1060" t="s">
        <v>281</v>
      </c>
      <c r="AA14" s="1061"/>
      <c r="AB14" s="1061"/>
      <c r="AC14" s="1061"/>
      <c r="AD14" s="1061"/>
      <c r="AE14" s="1061"/>
      <c r="AF14" s="1061"/>
      <c r="AG14" s="1061"/>
      <c r="AH14" s="1061"/>
      <c r="AI14" s="1061"/>
      <c r="AJ14" s="1061"/>
      <c r="AK14" s="1061"/>
      <c r="AL14" s="1061"/>
      <c r="AM14" s="1062"/>
      <c r="AN14" s="61">
        <v>54</v>
      </c>
    </row>
    <row r="15" spans="1:43" s="4" customFormat="1" ht="13.8" x14ac:dyDescent="0.3">
      <c r="A15" s="331">
        <v>5407103</v>
      </c>
      <c r="B15" s="358" t="s">
        <v>310</v>
      </c>
      <c r="C15" s="352" t="s">
        <v>311</v>
      </c>
      <c r="D15" s="352" t="s">
        <v>312</v>
      </c>
      <c r="E15" s="353" t="s">
        <v>293</v>
      </c>
      <c r="F15" s="347" t="s">
        <v>285</v>
      </c>
      <c r="G15" s="347" t="s">
        <v>307</v>
      </c>
      <c r="H15" s="359" t="s">
        <v>313</v>
      </c>
      <c r="I15" s="354"/>
      <c r="J15" s="354"/>
      <c r="K15" s="355">
        <v>6</v>
      </c>
      <c r="L15" s="355">
        <v>6</v>
      </c>
      <c r="M15" s="355">
        <v>6</v>
      </c>
      <c r="N15" s="354"/>
      <c r="O15" s="354"/>
      <c r="P15" s="354"/>
      <c r="Q15" s="354"/>
      <c r="R15" s="355">
        <v>6</v>
      </c>
      <c r="S15" s="355">
        <v>6</v>
      </c>
      <c r="T15" s="355" t="s">
        <v>314</v>
      </c>
      <c r="U15" s="355">
        <v>6</v>
      </c>
      <c r="V15" s="355">
        <v>6</v>
      </c>
      <c r="W15" s="354"/>
      <c r="X15" s="354"/>
      <c r="Y15" s="355">
        <v>6</v>
      </c>
      <c r="Z15" s="355">
        <v>6</v>
      </c>
      <c r="AA15" s="355">
        <v>6</v>
      </c>
      <c r="AB15" s="355">
        <v>6</v>
      </c>
      <c r="AC15" s="355">
        <v>6</v>
      </c>
      <c r="AD15" s="354"/>
      <c r="AE15" s="354"/>
      <c r="AF15" s="355">
        <v>6</v>
      </c>
      <c r="AG15" s="355">
        <v>6</v>
      </c>
      <c r="AH15" s="355">
        <v>6</v>
      </c>
      <c r="AI15" s="355">
        <v>6</v>
      </c>
      <c r="AJ15" s="355">
        <v>6</v>
      </c>
      <c r="AK15" s="354"/>
      <c r="AL15" s="354"/>
      <c r="AM15" s="355">
        <v>6</v>
      </c>
      <c r="AN15" s="61">
        <v>114</v>
      </c>
    </row>
    <row r="16" spans="1:43" s="4" customFormat="1" ht="13.8" x14ac:dyDescent="0.3">
      <c r="A16" s="331">
        <v>6308197</v>
      </c>
      <c r="B16" s="352" t="s">
        <v>67</v>
      </c>
      <c r="C16" s="352" t="s">
        <v>315</v>
      </c>
      <c r="D16" s="352" t="s">
        <v>316</v>
      </c>
      <c r="E16" s="353" t="s">
        <v>293</v>
      </c>
      <c r="F16" s="347" t="s">
        <v>285</v>
      </c>
      <c r="G16" s="347" t="s">
        <v>307</v>
      </c>
      <c r="H16" s="360">
        <v>69222805</v>
      </c>
      <c r="I16" s="354"/>
      <c r="J16" s="354"/>
      <c r="K16" s="355">
        <v>6</v>
      </c>
      <c r="L16" s="355">
        <v>6</v>
      </c>
      <c r="M16" s="355">
        <v>6</v>
      </c>
      <c r="N16" s="354"/>
      <c r="O16" s="354"/>
      <c r="P16" s="354"/>
      <c r="Q16" s="354"/>
      <c r="R16" s="355">
        <v>6</v>
      </c>
      <c r="S16" s="355">
        <v>6</v>
      </c>
      <c r="T16" s="355">
        <v>6</v>
      </c>
      <c r="U16" s="355">
        <v>6</v>
      </c>
      <c r="V16" s="355">
        <v>6</v>
      </c>
      <c r="W16" s="354"/>
      <c r="X16" s="354"/>
      <c r="Y16" s="355">
        <v>6</v>
      </c>
      <c r="Z16" s="355">
        <v>6</v>
      </c>
      <c r="AA16" s="355">
        <v>6</v>
      </c>
      <c r="AB16" s="355">
        <v>6</v>
      </c>
      <c r="AC16" s="355">
        <v>6</v>
      </c>
      <c r="AD16" s="354"/>
      <c r="AE16" s="354"/>
      <c r="AF16" s="355">
        <v>6</v>
      </c>
      <c r="AG16" s="355">
        <v>6</v>
      </c>
      <c r="AH16" s="355">
        <v>6</v>
      </c>
      <c r="AI16" s="355">
        <v>6</v>
      </c>
      <c r="AJ16" s="355">
        <v>6</v>
      </c>
      <c r="AK16" s="354"/>
      <c r="AL16" s="354"/>
      <c r="AM16" s="355">
        <v>6</v>
      </c>
      <c r="AN16" s="62">
        <v>114</v>
      </c>
    </row>
    <row r="17" spans="1:40" s="4" customFormat="1" ht="13.8" x14ac:dyDescent="0.3">
      <c r="A17" s="331">
        <v>5790004</v>
      </c>
      <c r="B17" s="356" t="s">
        <v>244</v>
      </c>
      <c r="C17" s="356" t="s">
        <v>317</v>
      </c>
      <c r="D17" s="356" t="s">
        <v>318</v>
      </c>
      <c r="E17" s="357" t="s">
        <v>288</v>
      </c>
      <c r="F17" s="347" t="s">
        <v>285</v>
      </c>
      <c r="G17" s="347" t="s">
        <v>307</v>
      </c>
      <c r="H17" s="331">
        <v>79001308</v>
      </c>
      <c r="I17" s="354"/>
      <c r="J17" s="354"/>
      <c r="K17" s="355">
        <v>6</v>
      </c>
      <c r="L17" s="355">
        <v>6</v>
      </c>
      <c r="M17" s="355">
        <v>6</v>
      </c>
      <c r="N17" s="354"/>
      <c r="O17" s="354"/>
      <c r="P17" s="354"/>
      <c r="Q17" s="354"/>
      <c r="R17" s="355">
        <v>6</v>
      </c>
      <c r="S17" s="355">
        <v>6</v>
      </c>
      <c r="T17" s="355">
        <v>6</v>
      </c>
      <c r="U17" s="355">
        <v>6</v>
      </c>
      <c r="V17" s="355">
        <v>6</v>
      </c>
      <c r="W17" s="354"/>
      <c r="X17" s="354"/>
      <c r="Y17" s="355">
        <v>6</v>
      </c>
      <c r="Z17" s="355">
        <v>6</v>
      </c>
      <c r="AA17" s="355">
        <v>6</v>
      </c>
      <c r="AB17" s="355">
        <v>6</v>
      </c>
      <c r="AC17" s="355">
        <v>6</v>
      </c>
      <c r="AD17" s="354"/>
      <c r="AE17" s="354"/>
      <c r="AF17" s="355">
        <v>6</v>
      </c>
      <c r="AG17" s="355">
        <v>6</v>
      </c>
      <c r="AH17" s="355">
        <v>6</v>
      </c>
      <c r="AI17" s="355">
        <v>6</v>
      </c>
      <c r="AJ17" s="355">
        <v>6</v>
      </c>
      <c r="AK17" s="354"/>
      <c r="AL17" s="354"/>
      <c r="AM17" s="355">
        <v>6</v>
      </c>
      <c r="AN17" s="62">
        <v>114</v>
      </c>
    </row>
    <row r="18" spans="1:40" s="4" customFormat="1" ht="13.8" x14ac:dyDescent="0.3">
      <c r="A18" s="331">
        <v>7780498</v>
      </c>
      <c r="B18" s="352" t="s">
        <v>319</v>
      </c>
      <c r="C18" s="352" t="s">
        <v>317</v>
      </c>
      <c r="D18" s="352" t="s">
        <v>320</v>
      </c>
      <c r="E18" s="353" t="s">
        <v>293</v>
      </c>
      <c r="F18" s="347" t="s">
        <v>285</v>
      </c>
      <c r="G18" s="347" t="s">
        <v>307</v>
      </c>
      <c r="H18" s="331">
        <v>75644873</v>
      </c>
      <c r="I18" s="354"/>
      <c r="J18" s="354"/>
      <c r="K18" s="355">
        <v>6</v>
      </c>
      <c r="L18" s="355">
        <v>6</v>
      </c>
      <c r="M18" s="355">
        <v>6</v>
      </c>
      <c r="N18" s="354"/>
      <c r="O18" s="354"/>
      <c r="P18" s="354"/>
      <c r="Q18" s="354"/>
      <c r="R18" s="355">
        <v>6</v>
      </c>
      <c r="S18" s="355">
        <v>6</v>
      </c>
      <c r="T18" s="355">
        <v>6</v>
      </c>
      <c r="U18" s="355">
        <v>6</v>
      </c>
      <c r="V18" s="355">
        <v>6</v>
      </c>
      <c r="W18" s="354"/>
      <c r="X18" s="354"/>
      <c r="Y18" s="355">
        <v>6</v>
      </c>
      <c r="Z18" s="355">
        <v>6</v>
      </c>
      <c r="AA18" s="355">
        <v>6</v>
      </c>
      <c r="AB18" s="355">
        <v>6</v>
      </c>
      <c r="AC18" s="355">
        <v>6</v>
      </c>
      <c r="AD18" s="354"/>
      <c r="AE18" s="354"/>
      <c r="AF18" s="355">
        <v>6</v>
      </c>
      <c r="AG18" s="355">
        <v>6</v>
      </c>
      <c r="AH18" s="355">
        <v>6</v>
      </c>
      <c r="AI18" s="355">
        <v>6</v>
      </c>
      <c r="AJ18" s="355">
        <v>6</v>
      </c>
      <c r="AK18" s="354"/>
      <c r="AL18" s="354"/>
      <c r="AM18" s="355">
        <v>6</v>
      </c>
      <c r="AN18" s="62">
        <v>114</v>
      </c>
    </row>
    <row r="19" spans="1:40" s="4" customFormat="1" ht="41.4" x14ac:dyDescent="0.3">
      <c r="A19" s="341">
        <v>7738016</v>
      </c>
      <c r="B19" s="342" t="s">
        <v>321</v>
      </c>
      <c r="C19" s="342" t="s">
        <v>322</v>
      </c>
      <c r="D19" s="342" t="s">
        <v>88</v>
      </c>
      <c r="E19" s="63" t="s">
        <v>284</v>
      </c>
      <c r="F19" s="343" t="s">
        <v>307</v>
      </c>
      <c r="G19" s="343">
        <v>0.3125</v>
      </c>
      <c r="H19" s="341">
        <v>73631251</v>
      </c>
      <c r="I19" s="354">
        <v>12</v>
      </c>
      <c r="J19" s="354"/>
      <c r="K19" s="354"/>
      <c r="L19" s="354">
        <v>12</v>
      </c>
      <c r="M19" s="354"/>
      <c r="N19" s="354"/>
      <c r="O19" s="354">
        <v>12</v>
      </c>
      <c r="P19" s="354"/>
      <c r="Q19" s="354"/>
      <c r="R19" s="354">
        <v>12</v>
      </c>
      <c r="S19" s="354"/>
      <c r="T19" s="354"/>
      <c r="U19" s="354">
        <v>12</v>
      </c>
      <c r="V19" s="354"/>
      <c r="W19" s="354"/>
      <c r="X19" s="354">
        <v>12</v>
      </c>
      <c r="Y19" s="354"/>
      <c r="Z19" s="354"/>
      <c r="AA19" s="354">
        <v>12</v>
      </c>
      <c r="AB19" s="354"/>
      <c r="AC19" s="354"/>
      <c r="AD19" s="354">
        <v>12</v>
      </c>
      <c r="AE19" s="354"/>
      <c r="AF19" s="354"/>
      <c r="AG19" s="354">
        <v>12</v>
      </c>
      <c r="AH19" s="354"/>
      <c r="AI19" s="354"/>
      <c r="AJ19" s="354">
        <v>12</v>
      </c>
      <c r="AK19" s="354"/>
      <c r="AL19" s="354"/>
      <c r="AM19" s="354">
        <v>12</v>
      </c>
      <c r="AN19" s="60">
        <v>132</v>
      </c>
    </row>
    <row r="20" spans="1:40" s="4" customFormat="1" ht="13.8" x14ac:dyDescent="0.3">
      <c r="A20" s="361">
        <v>9703013</v>
      </c>
      <c r="B20" s="350" t="s">
        <v>323</v>
      </c>
      <c r="C20" s="362" t="s">
        <v>290</v>
      </c>
      <c r="D20" s="350" t="s">
        <v>324</v>
      </c>
      <c r="E20" s="62" t="s">
        <v>325</v>
      </c>
      <c r="F20" s="347" t="s">
        <v>307</v>
      </c>
      <c r="G20" s="347">
        <v>0.3125</v>
      </c>
      <c r="H20" s="34">
        <v>77838513</v>
      </c>
      <c r="I20" s="354">
        <v>12</v>
      </c>
      <c r="J20" s="354"/>
      <c r="K20" s="355"/>
      <c r="L20" s="355">
        <v>12</v>
      </c>
      <c r="M20" s="355"/>
      <c r="N20" s="354"/>
      <c r="O20" s="354">
        <v>12</v>
      </c>
      <c r="P20" s="354"/>
      <c r="Q20" s="354"/>
      <c r="R20" s="355">
        <v>12</v>
      </c>
      <c r="S20" s="355"/>
      <c r="T20" s="355"/>
      <c r="U20" s="355">
        <v>12</v>
      </c>
      <c r="V20" s="355"/>
      <c r="W20" s="354"/>
      <c r="X20" s="354">
        <v>12</v>
      </c>
      <c r="Y20" s="355"/>
      <c r="Z20" s="355"/>
      <c r="AA20" s="355">
        <v>12</v>
      </c>
      <c r="AB20" s="355"/>
      <c r="AC20" s="355"/>
      <c r="AD20" s="354">
        <v>12</v>
      </c>
      <c r="AE20" s="354"/>
      <c r="AF20" s="355"/>
      <c r="AG20" s="355">
        <v>12</v>
      </c>
      <c r="AH20" s="355"/>
      <c r="AI20" s="355"/>
      <c r="AJ20" s="355">
        <v>12</v>
      </c>
      <c r="AK20" s="354"/>
      <c r="AL20" s="354"/>
      <c r="AM20" s="355">
        <v>12</v>
      </c>
      <c r="AN20" s="61">
        <v>132</v>
      </c>
    </row>
    <row r="21" spans="1:40" s="4" customFormat="1" ht="13.8" x14ac:dyDescent="0.3">
      <c r="A21" s="331">
        <v>5421861</v>
      </c>
      <c r="B21" s="356"/>
      <c r="C21" s="352" t="s">
        <v>326</v>
      </c>
      <c r="D21" s="352" t="s">
        <v>327</v>
      </c>
      <c r="E21" s="353" t="s">
        <v>293</v>
      </c>
      <c r="F21" s="347" t="s">
        <v>307</v>
      </c>
      <c r="G21" s="347">
        <v>0.3125</v>
      </c>
      <c r="H21" s="331">
        <v>70909707</v>
      </c>
      <c r="I21" s="354">
        <v>12</v>
      </c>
      <c r="J21" s="354"/>
      <c r="K21" s="355"/>
      <c r="L21" s="355">
        <v>12</v>
      </c>
      <c r="M21" s="355"/>
      <c r="N21" s="354"/>
      <c r="O21" s="354">
        <v>12</v>
      </c>
      <c r="P21" s="354"/>
      <c r="Q21" s="354"/>
      <c r="R21" s="355">
        <v>12</v>
      </c>
      <c r="S21" s="355"/>
      <c r="T21" s="355"/>
      <c r="U21" s="355">
        <v>12</v>
      </c>
      <c r="V21" s="355"/>
      <c r="W21" s="354"/>
      <c r="X21" s="354">
        <v>12</v>
      </c>
      <c r="Y21" s="355"/>
      <c r="Z21" s="355"/>
      <c r="AA21" s="355">
        <v>12</v>
      </c>
      <c r="AB21" s="355"/>
      <c r="AC21" s="355"/>
      <c r="AD21" s="354">
        <v>12</v>
      </c>
      <c r="AE21" s="354"/>
      <c r="AF21" s="355"/>
      <c r="AG21" s="355">
        <v>12</v>
      </c>
      <c r="AH21" s="355"/>
      <c r="AI21" s="355"/>
      <c r="AJ21" s="355">
        <v>12</v>
      </c>
      <c r="AK21" s="354"/>
      <c r="AL21" s="354"/>
      <c r="AM21" s="355">
        <v>12</v>
      </c>
      <c r="AN21" s="61">
        <v>132</v>
      </c>
    </row>
    <row r="22" spans="1:40" s="4" customFormat="1" ht="13.8" x14ac:dyDescent="0.3">
      <c r="A22" s="331">
        <v>8131824</v>
      </c>
      <c r="B22" s="352" t="s">
        <v>328</v>
      </c>
      <c r="C22" s="352" t="s">
        <v>329</v>
      </c>
      <c r="D22" s="352" t="s">
        <v>330</v>
      </c>
      <c r="E22" s="353" t="s">
        <v>331</v>
      </c>
      <c r="F22" s="347" t="s">
        <v>307</v>
      </c>
      <c r="G22" s="347">
        <v>0.3125</v>
      </c>
      <c r="H22" s="331">
        <v>69112545</v>
      </c>
      <c r="I22" s="354">
        <v>12</v>
      </c>
      <c r="J22" s="354"/>
      <c r="K22" s="355"/>
      <c r="L22" s="355">
        <v>12</v>
      </c>
      <c r="M22" s="355"/>
      <c r="N22" s="354"/>
      <c r="O22" s="354">
        <v>12</v>
      </c>
      <c r="P22" s="354"/>
      <c r="Q22" s="354"/>
      <c r="R22" s="355">
        <v>12</v>
      </c>
      <c r="S22" s="355"/>
      <c r="T22" s="355"/>
      <c r="U22" s="355">
        <v>12</v>
      </c>
      <c r="V22" s="355"/>
      <c r="W22" s="354"/>
      <c r="X22" s="354">
        <v>12</v>
      </c>
      <c r="Y22" s="355"/>
      <c r="Z22" s="355"/>
      <c r="AA22" s="355">
        <v>12</v>
      </c>
      <c r="AB22" s="355"/>
      <c r="AC22" s="355"/>
      <c r="AD22" s="354">
        <v>12</v>
      </c>
      <c r="AE22" s="354"/>
      <c r="AF22" s="355"/>
      <c r="AG22" s="355">
        <v>12</v>
      </c>
      <c r="AH22" s="355"/>
      <c r="AI22" s="355"/>
      <c r="AJ22" s="355">
        <v>12</v>
      </c>
      <c r="AK22" s="354"/>
      <c r="AL22" s="354"/>
      <c r="AM22" s="355">
        <v>12</v>
      </c>
      <c r="AN22" s="62">
        <v>132</v>
      </c>
    </row>
    <row r="23" spans="1:40" s="4" customFormat="1" ht="13.8" x14ac:dyDescent="0.3">
      <c r="A23" s="331">
        <v>7728964</v>
      </c>
      <c r="B23" s="363" t="s">
        <v>332</v>
      </c>
      <c r="C23" s="363" t="s">
        <v>333</v>
      </c>
      <c r="D23" s="363" t="s">
        <v>334</v>
      </c>
      <c r="E23" s="351" t="s">
        <v>288</v>
      </c>
      <c r="F23" s="347" t="s">
        <v>307</v>
      </c>
      <c r="G23" s="347">
        <v>0.3125</v>
      </c>
      <c r="H23" s="331">
        <v>67850699</v>
      </c>
      <c r="I23" s="354">
        <v>12</v>
      </c>
      <c r="J23" s="354"/>
      <c r="K23" s="355"/>
      <c r="L23" s="355">
        <v>12</v>
      </c>
      <c r="M23" s="355"/>
      <c r="N23" s="354"/>
      <c r="O23" s="354">
        <v>12</v>
      </c>
      <c r="P23" s="354"/>
      <c r="Q23" s="354"/>
      <c r="R23" s="355">
        <v>12</v>
      </c>
      <c r="S23" s="355"/>
      <c r="T23" s="355"/>
      <c r="U23" s="355">
        <v>12</v>
      </c>
      <c r="V23" s="355"/>
      <c r="W23" s="354"/>
      <c r="X23" s="354">
        <v>12</v>
      </c>
      <c r="Y23" s="355"/>
      <c r="Z23" s="355"/>
      <c r="AA23" s="355">
        <v>12</v>
      </c>
      <c r="AB23" s="355"/>
      <c r="AC23" s="355"/>
      <c r="AD23" s="354">
        <v>12</v>
      </c>
      <c r="AE23" s="354"/>
      <c r="AF23" s="355"/>
      <c r="AG23" s="355">
        <v>12</v>
      </c>
      <c r="AH23" s="355"/>
      <c r="AI23" s="355"/>
      <c r="AJ23" s="355">
        <v>12</v>
      </c>
      <c r="AK23" s="354"/>
      <c r="AL23" s="354"/>
      <c r="AM23" s="355">
        <v>12</v>
      </c>
      <c r="AN23" s="62">
        <v>132</v>
      </c>
    </row>
    <row r="24" spans="1:40" s="4" customFormat="1" ht="13.8" x14ac:dyDescent="0.3">
      <c r="A24" s="331">
        <v>7781503</v>
      </c>
      <c r="B24" s="352" t="s">
        <v>298</v>
      </c>
      <c r="C24" s="352" t="s">
        <v>335</v>
      </c>
      <c r="D24" s="352" t="s">
        <v>35</v>
      </c>
      <c r="E24" s="353" t="s">
        <v>293</v>
      </c>
      <c r="F24" s="347" t="s">
        <v>307</v>
      </c>
      <c r="G24" s="347">
        <v>0.3125</v>
      </c>
      <c r="H24" s="331">
        <v>73172918</v>
      </c>
      <c r="I24" s="354">
        <v>12</v>
      </c>
      <c r="J24" s="354"/>
      <c r="K24" s="355"/>
      <c r="L24" s="355">
        <v>12</v>
      </c>
      <c r="M24" s="355"/>
      <c r="N24" s="354"/>
      <c r="O24" s="354">
        <v>12</v>
      </c>
      <c r="P24" s="354"/>
      <c r="Q24" s="354"/>
      <c r="R24" s="355">
        <v>12</v>
      </c>
      <c r="S24" s="355"/>
      <c r="T24" s="355"/>
      <c r="U24" s="355">
        <v>12</v>
      </c>
      <c r="V24" s="355"/>
      <c r="W24" s="354"/>
      <c r="X24" s="354">
        <v>12</v>
      </c>
      <c r="Y24" s="355"/>
      <c r="Z24" s="355"/>
      <c r="AA24" s="355">
        <v>12</v>
      </c>
      <c r="AB24" s="355"/>
      <c r="AC24" s="355"/>
      <c r="AD24" s="354">
        <v>12</v>
      </c>
      <c r="AE24" s="354"/>
      <c r="AF24" s="355"/>
      <c r="AG24" s="355">
        <v>12</v>
      </c>
      <c r="AH24" s="355"/>
      <c r="AI24" s="355"/>
      <c r="AJ24" s="355">
        <v>12</v>
      </c>
      <c r="AK24" s="354"/>
      <c r="AL24" s="354"/>
      <c r="AM24" s="355">
        <v>12</v>
      </c>
      <c r="AN24" s="62">
        <v>132</v>
      </c>
    </row>
    <row r="25" spans="1:40" s="4" customFormat="1" ht="41.4" x14ac:dyDescent="0.3">
      <c r="A25" s="341">
        <v>11315942</v>
      </c>
      <c r="B25" s="342" t="s">
        <v>336</v>
      </c>
      <c r="C25" s="342" t="s">
        <v>337</v>
      </c>
      <c r="D25" s="342" t="s">
        <v>338</v>
      </c>
      <c r="E25" s="63" t="s">
        <v>284</v>
      </c>
      <c r="F25" s="343" t="s">
        <v>307</v>
      </c>
      <c r="G25" s="343">
        <v>0.3125</v>
      </c>
      <c r="H25" s="341">
        <v>73675867</v>
      </c>
      <c r="I25" s="354"/>
      <c r="J25" s="354">
        <v>12</v>
      </c>
      <c r="K25" s="354"/>
      <c r="L25" s="354"/>
      <c r="M25" s="354">
        <v>12</v>
      </c>
      <c r="N25" s="354"/>
      <c r="O25" s="354"/>
      <c r="P25" s="354">
        <v>12</v>
      </c>
      <c r="Q25" s="354"/>
      <c r="R25" s="354"/>
      <c r="S25" s="354">
        <v>12</v>
      </c>
      <c r="T25" s="354"/>
      <c r="U25" s="354"/>
      <c r="V25" s="354">
        <v>12</v>
      </c>
      <c r="W25" s="354"/>
      <c r="X25" s="354"/>
      <c r="Y25" s="354">
        <v>12</v>
      </c>
      <c r="Z25" s="354"/>
      <c r="AA25" s="354"/>
      <c r="AB25" s="354">
        <v>12</v>
      </c>
      <c r="AC25" s="354"/>
      <c r="AD25" s="354"/>
      <c r="AE25" s="354">
        <v>12</v>
      </c>
      <c r="AF25" s="354"/>
      <c r="AG25" s="354"/>
      <c r="AH25" s="354">
        <v>12</v>
      </c>
      <c r="AI25" s="354"/>
      <c r="AJ25" s="354"/>
      <c r="AK25" s="354">
        <v>12</v>
      </c>
      <c r="AL25" s="354"/>
      <c r="AM25" s="354"/>
      <c r="AN25" s="60">
        <v>120</v>
      </c>
    </row>
    <row r="26" spans="1:40" s="4" customFormat="1" ht="13.8" x14ac:dyDescent="0.3">
      <c r="A26" s="331">
        <v>8896744</v>
      </c>
      <c r="B26" s="356" t="s">
        <v>339</v>
      </c>
      <c r="C26" s="352" t="s">
        <v>340</v>
      </c>
      <c r="D26" s="356" t="s">
        <v>341</v>
      </c>
      <c r="E26" s="357" t="s">
        <v>288</v>
      </c>
      <c r="F26" s="347" t="s">
        <v>307</v>
      </c>
      <c r="G26" s="347">
        <v>0.3125</v>
      </c>
      <c r="H26" s="331">
        <v>73601093</v>
      </c>
      <c r="I26" s="364"/>
      <c r="J26" s="354">
        <v>12</v>
      </c>
      <c r="K26" s="355"/>
      <c r="L26" s="355"/>
      <c r="M26" s="355">
        <v>12</v>
      </c>
      <c r="N26" s="354"/>
      <c r="O26" s="354"/>
      <c r="P26" s="354">
        <v>12</v>
      </c>
      <c r="Q26" s="354"/>
      <c r="R26" s="355"/>
      <c r="S26" s="355">
        <v>12</v>
      </c>
      <c r="T26" s="355"/>
      <c r="U26" s="355"/>
      <c r="V26" s="355">
        <v>12</v>
      </c>
      <c r="W26" s="354"/>
      <c r="X26" s="354"/>
      <c r="Y26" s="355">
        <v>12</v>
      </c>
      <c r="Z26" s="355"/>
      <c r="AA26" s="355"/>
      <c r="AB26" s="355">
        <v>12</v>
      </c>
      <c r="AC26" s="355"/>
      <c r="AD26" s="354"/>
      <c r="AE26" s="354">
        <v>12</v>
      </c>
      <c r="AF26" s="355"/>
      <c r="AG26" s="355"/>
      <c r="AH26" s="355">
        <v>12</v>
      </c>
      <c r="AI26" s="355"/>
      <c r="AJ26" s="355"/>
      <c r="AK26" s="354">
        <v>12</v>
      </c>
      <c r="AL26" s="354"/>
      <c r="AM26" s="355"/>
      <c r="AN26" s="61">
        <v>120</v>
      </c>
    </row>
    <row r="27" spans="1:40" s="4" customFormat="1" ht="13.8" x14ac:dyDescent="0.3">
      <c r="A27" s="331">
        <v>6312361</v>
      </c>
      <c r="B27" s="352" t="s">
        <v>342</v>
      </c>
      <c r="C27" s="352" t="s">
        <v>343</v>
      </c>
      <c r="D27" s="352" t="s">
        <v>344</v>
      </c>
      <c r="E27" s="353" t="s">
        <v>345</v>
      </c>
      <c r="F27" s="347" t="s">
        <v>307</v>
      </c>
      <c r="G27" s="347">
        <v>0.3125</v>
      </c>
      <c r="H27" s="331">
        <v>67780530</v>
      </c>
      <c r="I27" s="354"/>
      <c r="J27" s="354">
        <v>12</v>
      </c>
      <c r="K27" s="355"/>
      <c r="L27" s="355"/>
      <c r="M27" s="355">
        <v>12</v>
      </c>
      <c r="N27" s="354"/>
      <c r="O27" s="354"/>
      <c r="P27" s="354">
        <v>12</v>
      </c>
      <c r="Q27" s="354"/>
      <c r="R27" s="355"/>
      <c r="S27" s="355">
        <v>12</v>
      </c>
      <c r="T27" s="355"/>
      <c r="U27" s="355"/>
      <c r="V27" s="355">
        <v>12</v>
      </c>
      <c r="W27" s="354"/>
      <c r="X27" s="354"/>
      <c r="Y27" s="355">
        <v>12</v>
      </c>
      <c r="Z27" s="355"/>
      <c r="AA27" s="355"/>
      <c r="AB27" s="355">
        <v>12</v>
      </c>
      <c r="AC27" s="355"/>
      <c r="AD27" s="354"/>
      <c r="AE27" s="354">
        <v>12</v>
      </c>
      <c r="AF27" s="355"/>
      <c r="AG27" s="355"/>
      <c r="AH27" s="355">
        <v>12</v>
      </c>
      <c r="AI27" s="355"/>
      <c r="AJ27" s="355"/>
      <c r="AK27" s="354">
        <v>12</v>
      </c>
      <c r="AL27" s="354"/>
      <c r="AM27" s="355"/>
      <c r="AN27" s="61">
        <v>120</v>
      </c>
    </row>
    <row r="28" spans="1:40" s="4" customFormat="1" ht="13.8" x14ac:dyDescent="0.3">
      <c r="A28" s="331">
        <v>1764612</v>
      </c>
      <c r="B28" s="352" t="s">
        <v>346</v>
      </c>
      <c r="C28" s="352" t="s">
        <v>347</v>
      </c>
      <c r="D28" s="352" t="s">
        <v>348</v>
      </c>
      <c r="E28" s="365" t="s">
        <v>345</v>
      </c>
      <c r="F28" s="347" t="s">
        <v>307</v>
      </c>
      <c r="G28" s="347">
        <v>0.3125</v>
      </c>
      <c r="H28" s="331">
        <v>75618408</v>
      </c>
      <c r="I28" s="364"/>
      <c r="J28" s="354">
        <v>12</v>
      </c>
      <c r="K28" s="355"/>
      <c r="L28" s="355"/>
      <c r="M28" s="355">
        <v>12</v>
      </c>
      <c r="N28" s="354"/>
      <c r="O28" s="354"/>
      <c r="P28" s="354">
        <v>12</v>
      </c>
      <c r="Q28" s="354"/>
      <c r="R28" s="355"/>
      <c r="S28" s="355">
        <v>12</v>
      </c>
      <c r="T28" s="355"/>
      <c r="U28" s="355"/>
      <c r="V28" s="355">
        <v>12</v>
      </c>
      <c r="W28" s="366"/>
      <c r="X28" s="366"/>
      <c r="Y28" s="355">
        <v>12</v>
      </c>
      <c r="Z28" s="355"/>
      <c r="AA28" s="355"/>
      <c r="AB28" s="355">
        <v>12</v>
      </c>
      <c r="AC28" s="355"/>
      <c r="AD28" s="354"/>
      <c r="AE28" s="354">
        <v>12</v>
      </c>
      <c r="AF28" s="355"/>
      <c r="AG28" s="355"/>
      <c r="AH28" s="355">
        <v>12</v>
      </c>
      <c r="AI28" s="355"/>
      <c r="AJ28" s="355"/>
      <c r="AK28" s="354">
        <v>12</v>
      </c>
      <c r="AL28" s="354"/>
      <c r="AM28" s="367"/>
      <c r="AN28" s="62">
        <v>120</v>
      </c>
    </row>
    <row r="29" spans="1:40" s="4" customFormat="1" ht="13.8" x14ac:dyDescent="0.3">
      <c r="A29" s="331">
        <v>6306468</v>
      </c>
      <c r="B29" s="363" t="s">
        <v>349</v>
      </c>
      <c r="C29" s="363" t="s">
        <v>350</v>
      </c>
      <c r="D29" s="363" t="s">
        <v>351</v>
      </c>
      <c r="E29" s="357" t="s">
        <v>288</v>
      </c>
      <c r="F29" s="347" t="s">
        <v>307</v>
      </c>
      <c r="G29" s="347">
        <v>0.3125</v>
      </c>
      <c r="H29" s="331">
        <v>67703086</v>
      </c>
      <c r="I29" s="364"/>
      <c r="J29" s="354">
        <v>12</v>
      </c>
      <c r="K29" s="355"/>
      <c r="L29" s="355"/>
      <c r="M29" s="355">
        <v>12</v>
      </c>
      <c r="N29" s="354"/>
      <c r="O29" s="354"/>
      <c r="P29" s="354">
        <v>12</v>
      </c>
      <c r="Q29" s="354"/>
      <c r="R29" s="355"/>
      <c r="S29" s="355">
        <v>12</v>
      </c>
      <c r="T29" s="355"/>
      <c r="U29" s="355"/>
      <c r="V29" s="355">
        <v>12</v>
      </c>
      <c r="W29" s="366"/>
      <c r="X29" s="366"/>
      <c r="Y29" s="355">
        <v>12</v>
      </c>
      <c r="Z29" s="355"/>
      <c r="AA29" s="355"/>
      <c r="AB29" s="355">
        <v>12</v>
      </c>
      <c r="AC29" s="355"/>
      <c r="AD29" s="354"/>
      <c r="AE29" s="354">
        <v>12</v>
      </c>
      <c r="AF29" s="355"/>
      <c r="AG29" s="355"/>
      <c r="AH29" s="355">
        <v>12</v>
      </c>
      <c r="AI29" s="355"/>
      <c r="AJ29" s="355"/>
      <c r="AK29" s="354">
        <v>12</v>
      </c>
      <c r="AL29" s="354"/>
      <c r="AM29" s="367"/>
      <c r="AN29" s="62">
        <v>120</v>
      </c>
    </row>
    <row r="30" spans="1:40" s="4" customFormat="1" ht="13.8" x14ac:dyDescent="0.3">
      <c r="A30" s="331">
        <v>8078381</v>
      </c>
      <c r="B30" s="352" t="s">
        <v>352</v>
      </c>
      <c r="C30" s="352" t="s">
        <v>353</v>
      </c>
      <c r="D30" s="352" t="s">
        <v>354</v>
      </c>
      <c r="E30" s="353" t="s">
        <v>293</v>
      </c>
      <c r="F30" s="347" t="s">
        <v>307</v>
      </c>
      <c r="G30" s="347">
        <v>0.3125</v>
      </c>
      <c r="H30" s="331">
        <v>76633965</v>
      </c>
      <c r="I30" s="364"/>
      <c r="J30" s="354">
        <v>12</v>
      </c>
      <c r="K30" s="355"/>
      <c r="L30" s="355"/>
      <c r="M30" s="355">
        <v>12</v>
      </c>
      <c r="N30" s="354"/>
      <c r="O30" s="354"/>
      <c r="P30" s="354">
        <v>12</v>
      </c>
      <c r="Q30" s="354"/>
      <c r="R30" s="355"/>
      <c r="S30" s="355">
        <v>12</v>
      </c>
      <c r="T30" s="355"/>
      <c r="U30" s="355"/>
      <c r="V30" s="355">
        <v>12</v>
      </c>
      <c r="W30" s="366"/>
      <c r="X30" s="366"/>
      <c r="Y30" s="355">
        <v>12</v>
      </c>
      <c r="Z30" s="367"/>
      <c r="AA30" s="367"/>
      <c r="AB30" s="355">
        <v>12</v>
      </c>
      <c r="AC30" s="367"/>
      <c r="AD30" s="366"/>
      <c r="AE30" s="354">
        <v>12</v>
      </c>
      <c r="AF30" s="367"/>
      <c r="AG30" s="367"/>
      <c r="AH30" s="355">
        <v>12</v>
      </c>
      <c r="AI30" s="367"/>
      <c r="AJ30" s="367"/>
      <c r="AK30" s="354">
        <v>12</v>
      </c>
      <c r="AL30" s="366"/>
      <c r="AM30" s="367"/>
      <c r="AN30" s="62">
        <v>120</v>
      </c>
    </row>
    <row r="31" spans="1:40" s="4" customFormat="1" ht="41.4" x14ac:dyDescent="0.3">
      <c r="A31" s="341">
        <v>6716854</v>
      </c>
      <c r="B31" s="342" t="s">
        <v>115</v>
      </c>
      <c r="C31" s="342" t="s">
        <v>355</v>
      </c>
      <c r="D31" s="342" t="s">
        <v>287</v>
      </c>
      <c r="E31" s="63" t="s">
        <v>284</v>
      </c>
      <c r="F31" s="343" t="s">
        <v>307</v>
      </c>
      <c r="G31" s="343">
        <v>0.27083333333333331</v>
      </c>
      <c r="H31" s="341">
        <v>75598675</v>
      </c>
      <c r="I31" s="1060" t="s">
        <v>281</v>
      </c>
      <c r="J31" s="1061"/>
      <c r="K31" s="1061"/>
      <c r="L31" s="1061"/>
      <c r="M31" s="1061"/>
      <c r="N31" s="1061"/>
      <c r="O31" s="1061"/>
      <c r="P31" s="1061"/>
      <c r="Q31" s="1061"/>
      <c r="R31" s="1061"/>
      <c r="S31" s="1061"/>
      <c r="T31" s="1061"/>
      <c r="U31" s="1061"/>
      <c r="V31" s="1061"/>
      <c r="W31" s="1061"/>
      <c r="X31" s="1062"/>
      <c r="Y31" s="354"/>
      <c r="Z31" s="354">
        <v>11</v>
      </c>
      <c r="AA31" s="354"/>
      <c r="AB31" s="354"/>
      <c r="AC31" s="354">
        <v>11</v>
      </c>
      <c r="AD31" s="354"/>
      <c r="AE31" s="354"/>
      <c r="AF31" s="354">
        <v>11</v>
      </c>
      <c r="AG31" s="354"/>
      <c r="AH31" s="354"/>
      <c r="AI31" s="354">
        <v>11</v>
      </c>
      <c r="AJ31" s="354"/>
      <c r="AK31" s="354"/>
      <c r="AL31" s="354">
        <v>11</v>
      </c>
      <c r="AM31" s="354"/>
      <c r="AN31" s="63">
        <v>55</v>
      </c>
    </row>
    <row r="32" spans="1:40" s="4" customFormat="1" ht="13.8" x14ac:dyDescent="0.3">
      <c r="A32" s="331">
        <v>9057470</v>
      </c>
      <c r="B32" s="346" t="s">
        <v>356</v>
      </c>
      <c r="C32" s="346" t="s">
        <v>357</v>
      </c>
      <c r="D32" s="346" t="s">
        <v>358</v>
      </c>
      <c r="E32" s="62" t="s">
        <v>325</v>
      </c>
      <c r="F32" s="347" t="s">
        <v>307</v>
      </c>
      <c r="G32" s="347">
        <v>0.3125</v>
      </c>
      <c r="H32" s="331">
        <v>78520775</v>
      </c>
      <c r="I32" s="366"/>
      <c r="J32" s="366"/>
      <c r="K32" s="355">
        <v>12</v>
      </c>
      <c r="L32" s="355"/>
      <c r="M32" s="355"/>
      <c r="N32" s="354">
        <v>12</v>
      </c>
      <c r="O32" s="354"/>
      <c r="P32" s="354"/>
      <c r="Q32" s="354">
        <v>12</v>
      </c>
      <c r="R32" s="355"/>
      <c r="S32" s="355"/>
      <c r="T32" s="355">
        <v>12</v>
      </c>
      <c r="U32" s="355"/>
      <c r="V32" s="355"/>
      <c r="W32" s="354">
        <v>12</v>
      </c>
      <c r="X32" s="354"/>
      <c r="Y32" s="355"/>
      <c r="Z32" s="355">
        <v>12</v>
      </c>
      <c r="AA32" s="355"/>
      <c r="AB32" s="355"/>
      <c r="AC32" s="355">
        <v>12</v>
      </c>
      <c r="AD32" s="354"/>
      <c r="AE32" s="354"/>
      <c r="AF32" s="355">
        <v>12</v>
      </c>
      <c r="AG32" s="355"/>
      <c r="AH32" s="355"/>
      <c r="AI32" s="355">
        <v>12</v>
      </c>
      <c r="AJ32" s="355"/>
      <c r="AK32" s="354"/>
      <c r="AL32" s="354">
        <v>12</v>
      </c>
      <c r="AM32" s="355"/>
      <c r="AN32" s="61">
        <v>120</v>
      </c>
    </row>
    <row r="33" spans="1:43" s="4" customFormat="1" ht="13.8" x14ac:dyDescent="0.3">
      <c r="A33" s="331">
        <v>7839285</v>
      </c>
      <c r="B33" s="352" t="s">
        <v>359</v>
      </c>
      <c r="C33" s="352" t="s">
        <v>360</v>
      </c>
      <c r="D33" s="352" t="s">
        <v>361</v>
      </c>
      <c r="E33" s="353" t="s">
        <v>362</v>
      </c>
      <c r="F33" s="347" t="s">
        <v>307</v>
      </c>
      <c r="G33" s="347">
        <v>0.3125</v>
      </c>
      <c r="H33" s="331">
        <v>74656474</v>
      </c>
      <c r="I33" s="366"/>
      <c r="J33" s="366"/>
      <c r="K33" s="355">
        <v>12</v>
      </c>
      <c r="L33" s="355"/>
      <c r="M33" s="355"/>
      <c r="N33" s="354">
        <v>12</v>
      </c>
      <c r="O33" s="354"/>
      <c r="P33" s="354"/>
      <c r="Q33" s="354">
        <v>12</v>
      </c>
      <c r="R33" s="355"/>
      <c r="S33" s="355"/>
      <c r="T33" s="355">
        <v>12</v>
      </c>
      <c r="U33" s="355"/>
      <c r="V33" s="355"/>
      <c r="W33" s="354">
        <v>12</v>
      </c>
      <c r="X33" s="354"/>
      <c r="Y33" s="355"/>
      <c r="Z33" s="355">
        <v>12</v>
      </c>
      <c r="AA33" s="355"/>
      <c r="AB33" s="355"/>
      <c r="AC33" s="355">
        <v>12</v>
      </c>
      <c r="AD33" s="354"/>
      <c r="AE33" s="354"/>
      <c r="AF33" s="355">
        <v>12</v>
      </c>
      <c r="AG33" s="355"/>
      <c r="AH33" s="355"/>
      <c r="AI33" s="355">
        <v>12</v>
      </c>
      <c r="AJ33" s="355"/>
      <c r="AK33" s="354"/>
      <c r="AL33" s="354">
        <v>12</v>
      </c>
      <c r="AM33" s="355"/>
      <c r="AN33" s="61">
        <v>120</v>
      </c>
    </row>
    <row r="34" spans="1:43" s="4" customFormat="1" ht="13.8" x14ac:dyDescent="0.3">
      <c r="A34" s="331">
        <v>5341384</v>
      </c>
      <c r="B34" s="352" t="s">
        <v>71</v>
      </c>
      <c r="C34" s="352" t="s">
        <v>363</v>
      </c>
      <c r="D34" s="352" t="s">
        <v>364</v>
      </c>
      <c r="E34" s="353" t="s">
        <v>345</v>
      </c>
      <c r="F34" s="347" t="s">
        <v>307</v>
      </c>
      <c r="G34" s="347">
        <v>0.3125</v>
      </c>
      <c r="H34" s="331">
        <v>77681119</v>
      </c>
      <c r="I34" s="1060" t="s">
        <v>281</v>
      </c>
      <c r="J34" s="1061"/>
      <c r="K34" s="1061"/>
      <c r="L34" s="1061"/>
      <c r="M34" s="1061"/>
      <c r="N34" s="1061"/>
      <c r="O34" s="1061"/>
      <c r="P34" s="1061"/>
      <c r="Q34" s="1061"/>
      <c r="R34" s="1061"/>
      <c r="S34" s="1061"/>
      <c r="T34" s="1061"/>
      <c r="U34" s="1061"/>
      <c r="V34" s="1061"/>
      <c r="W34" s="1062"/>
      <c r="X34" s="354"/>
      <c r="Y34" s="355"/>
      <c r="Z34" s="355">
        <v>12</v>
      </c>
      <c r="AA34" s="355"/>
      <c r="AB34" s="355"/>
      <c r="AC34" s="355">
        <v>12</v>
      </c>
      <c r="AD34" s="354"/>
      <c r="AE34" s="354"/>
      <c r="AF34" s="355">
        <v>12</v>
      </c>
      <c r="AG34" s="355"/>
      <c r="AH34" s="355"/>
      <c r="AI34" s="355">
        <v>12</v>
      </c>
      <c r="AJ34" s="355"/>
      <c r="AK34" s="354"/>
      <c r="AL34" s="354">
        <v>12</v>
      </c>
      <c r="AM34" s="355"/>
      <c r="AN34" s="61">
        <v>60</v>
      </c>
    </row>
    <row r="35" spans="1:43" s="4" customFormat="1" ht="13.8" x14ac:dyDescent="0.3">
      <c r="A35" s="331">
        <v>7727160</v>
      </c>
      <c r="B35" s="352" t="s">
        <v>365</v>
      </c>
      <c r="C35" s="352" t="s">
        <v>366</v>
      </c>
      <c r="D35" s="352" t="s">
        <v>367</v>
      </c>
      <c r="E35" s="365" t="s">
        <v>345</v>
      </c>
      <c r="F35" s="347" t="s">
        <v>307</v>
      </c>
      <c r="G35" s="347">
        <v>0.3125</v>
      </c>
      <c r="H35" s="331">
        <v>65068766</v>
      </c>
      <c r="I35" s="366"/>
      <c r="J35" s="366"/>
      <c r="K35" s="355">
        <v>12</v>
      </c>
      <c r="L35" s="355"/>
      <c r="M35" s="355"/>
      <c r="N35" s="354">
        <v>12</v>
      </c>
      <c r="O35" s="354"/>
      <c r="P35" s="354"/>
      <c r="Q35" s="354">
        <v>12</v>
      </c>
      <c r="R35" s="355"/>
      <c r="S35" s="355"/>
      <c r="T35" s="355">
        <v>12</v>
      </c>
      <c r="U35" s="355"/>
      <c r="V35" s="355"/>
      <c r="W35" s="354">
        <v>12</v>
      </c>
      <c r="X35" s="1060" t="s">
        <v>281</v>
      </c>
      <c r="Y35" s="1061"/>
      <c r="Z35" s="1061"/>
      <c r="AA35" s="1061"/>
      <c r="AB35" s="1061"/>
      <c r="AC35" s="1061"/>
      <c r="AD35" s="1061"/>
      <c r="AE35" s="1061"/>
      <c r="AF35" s="1061"/>
      <c r="AG35" s="1061"/>
      <c r="AH35" s="1061"/>
      <c r="AI35" s="1061"/>
      <c r="AJ35" s="1061"/>
      <c r="AK35" s="1061"/>
      <c r="AL35" s="1061"/>
      <c r="AM35" s="1062"/>
      <c r="AN35" s="62">
        <v>60</v>
      </c>
      <c r="AO35" s="368"/>
    </row>
    <row r="36" spans="1:43" s="4" customFormat="1" ht="13.8" x14ac:dyDescent="0.3">
      <c r="A36" s="331">
        <v>8911581</v>
      </c>
      <c r="B36" s="356" t="s">
        <v>368</v>
      </c>
      <c r="C36" s="356" t="s">
        <v>369</v>
      </c>
      <c r="D36" s="356" t="s">
        <v>370</v>
      </c>
      <c r="E36" s="62" t="s">
        <v>325</v>
      </c>
      <c r="F36" s="347" t="s">
        <v>307</v>
      </c>
      <c r="G36" s="347">
        <v>0.3125</v>
      </c>
      <c r="H36" s="331">
        <v>77689292</v>
      </c>
      <c r="I36" s="366"/>
      <c r="J36" s="366"/>
      <c r="K36" s="355">
        <v>12</v>
      </c>
      <c r="L36" s="355"/>
      <c r="M36" s="355"/>
      <c r="N36" s="354">
        <v>12</v>
      </c>
      <c r="O36" s="354"/>
      <c r="P36" s="354"/>
      <c r="Q36" s="354">
        <v>12</v>
      </c>
      <c r="R36" s="355"/>
      <c r="S36" s="355"/>
      <c r="T36" s="355">
        <v>12</v>
      </c>
      <c r="U36" s="355"/>
      <c r="V36" s="355"/>
      <c r="W36" s="354">
        <v>12</v>
      </c>
      <c r="X36" s="354"/>
      <c r="Y36" s="355"/>
      <c r="Z36" s="355">
        <v>12</v>
      </c>
      <c r="AA36" s="355"/>
      <c r="AB36" s="355"/>
      <c r="AC36" s="355">
        <v>12</v>
      </c>
      <c r="AD36" s="354"/>
      <c r="AE36" s="354"/>
      <c r="AF36" s="355">
        <v>12</v>
      </c>
      <c r="AG36" s="355"/>
      <c r="AH36" s="355"/>
      <c r="AI36" s="355">
        <v>12</v>
      </c>
      <c r="AJ36" s="355"/>
      <c r="AK36" s="354"/>
      <c r="AL36" s="354">
        <v>12</v>
      </c>
      <c r="AM36" s="355"/>
      <c r="AN36" s="61">
        <v>120</v>
      </c>
    </row>
    <row r="37" spans="1:43" s="4" customFormat="1" ht="13.8" x14ac:dyDescent="0.3">
      <c r="A37" s="331">
        <v>4730465</v>
      </c>
      <c r="B37" s="352" t="s">
        <v>371</v>
      </c>
      <c r="C37" s="352" t="s">
        <v>290</v>
      </c>
      <c r="D37" s="352" t="s">
        <v>372</v>
      </c>
      <c r="E37" s="365" t="s">
        <v>362</v>
      </c>
      <c r="F37" s="347" t="s">
        <v>307</v>
      </c>
      <c r="G37" s="347">
        <v>0.3125</v>
      </c>
      <c r="H37" s="331">
        <v>70882479</v>
      </c>
      <c r="I37" s="354"/>
      <c r="J37" s="354"/>
      <c r="K37" s="355">
        <v>12</v>
      </c>
      <c r="L37" s="355"/>
      <c r="M37" s="355"/>
      <c r="N37" s="354">
        <v>12</v>
      </c>
      <c r="O37" s="354"/>
      <c r="P37" s="354"/>
      <c r="Q37" s="354">
        <v>12</v>
      </c>
      <c r="R37" s="355"/>
      <c r="S37" s="355"/>
      <c r="T37" s="355">
        <v>12</v>
      </c>
      <c r="U37" s="355"/>
      <c r="V37" s="355"/>
      <c r="W37" s="354">
        <v>12</v>
      </c>
      <c r="X37" s="354"/>
      <c r="Y37" s="355"/>
      <c r="Z37" s="355">
        <v>12</v>
      </c>
      <c r="AA37" s="355"/>
      <c r="AB37" s="355"/>
      <c r="AC37" s="355">
        <v>12</v>
      </c>
      <c r="AD37" s="354"/>
      <c r="AE37" s="354"/>
      <c r="AF37" s="355">
        <v>12</v>
      </c>
      <c r="AG37" s="355"/>
      <c r="AH37" s="355"/>
      <c r="AI37" s="355">
        <v>12</v>
      </c>
      <c r="AJ37" s="355"/>
      <c r="AK37" s="354"/>
      <c r="AL37" s="354">
        <v>12</v>
      </c>
      <c r="AM37" s="355"/>
      <c r="AN37" s="62">
        <v>120</v>
      </c>
    </row>
    <row r="38" spans="1:43" s="4" customFormat="1" ht="41.4" x14ac:dyDescent="0.3">
      <c r="A38" s="341">
        <v>5776903</v>
      </c>
      <c r="B38" s="342" t="s">
        <v>373</v>
      </c>
      <c r="C38" s="342" t="s">
        <v>374</v>
      </c>
      <c r="D38" s="342" t="s">
        <v>375</v>
      </c>
      <c r="E38" s="63" t="s">
        <v>284</v>
      </c>
      <c r="F38" s="343">
        <v>0.3125</v>
      </c>
      <c r="G38" s="343" t="s">
        <v>307</v>
      </c>
      <c r="H38" s="341">
        <v>72219025</v>
      </c>
      <c r="I38" s="354">
        <v>12</v>
      </c>
      <c r="J38" s="354">
        <v>12</v>
      </c>
      <c r="K38" s="354"/>
      <c r="L38" s="354"/>
      <c r="M38" s="354"/>
      <c r="N38" s="354">
        <v>12</v>
      </c>
      <c r="O38" s="354">
        <v>12</v>
      </c>
      <c r="P38" s="354">
        <v>12</v>
      </c>
      <c r="Q38" s="354">
        <v>12</v>
      </c>
      <c r="R38" s="354"/>
      <c r="S38" s="354"/>
      <c r="T38" s="354"/>
      <c r="U38" s="354"/>
      <c r="V38" s="354"/>
      <c r="W38" s="354">
        <v>12</v>
      </c>
      <c r="X38" s="354">
        <v>12</v>
      </c>
      <c r="Y38" s="354"/>
      <c r="Z38" s="354"/>
      <c r="AA38" s="354"/>
      <c r="AB38" s="354"/>
      <c r="AC38" s="354"/>
      <c r="AD38" s="354">
        <v>12</v>
      </c>
      <c r="AE38" s="354">
        <v>12</v>
      </c>
      <c r="AF38" s="354"/>
      <c r="AG38" s="354"/>
      <c r="AH38" s="354"/>
      <c r="AI38" s="354"/>
      <c r="AJ38" s="354"/>
      <c r="AK38" s="354">
        <v>12</v>
      </c>
      <c r="AL38" s="354">
        <v>12</v>
      </c>
      <c r="AM38" s="354"/>
      <c r="AN38" s="63">
        <v>144</v>
      </c>
    </row>
    <row r="39" spans="1:43" s="4" customFormat="1" ht="13.8" x14ac:dyDescent="0.3">
      <c r="A39" s="331">
        <v>5530533</v>
      </c>
      <c r="B39" s="356" t="s">
        <v>376</v>
      </c>
      <c r="C39" s="356" t="s">
        <v>363</v>
      </c>
      <c r="D39" s="356" t="s">
        <v>104</v>
      </c>
      <c r="E39" s="351" t="s">
        <v>288</v>
      </c>
      <c r="F39" s="347">
        <v>0.3125</v>
      </c>
      <c r="G39" s="347" t="s">
        <v>307</v>
      </c>
      <c r="H39" s="331">
        <v>72975413</v>
      </c>
      <c r="I39" s="354">
        <v>12</v>
      </c>
      <c r="J39" s="354">
        <v>12</v>
      </c>
      <c r="K39" s="355"/>
      <c r="L39" s="355"/>
      <c r="M39" s="355"/>
      <c r="N39" s="354">
        <v>12</v>
      </c>
      <c r="O39" s="354">
        <v>12</v>
      </c>
      <c r="P39" s="354">
        <v>12</v>
      </c>
      <c r="Q39" s="354">
        <v>12</v>
      </c>
      <c r="R39" s="355"/>
      <c r="S39" s="355"/>
      <c r="T39" s="355"/>
      <c r="U39" s="355"/>
      <c r="V39" s="355"/>
      <c r="W39" s="354">
        <v>12</v>
      </c>
      <c r="X39" s="354">
        <v>12</v>
      </c>
      <c r="Y39" s="355"/>
      <c r="Z39" s="355"/>
      <c r="AA39" s="355"/>
      <c r="AB39" s="355"/>
      <c r="AC39" s="355"/>
      <c r="AD39" s="354">
        <v>12</v>
      </c>
      <c r="AE39" s="354">
        <v>12</v>
      </c>
      <c r="AF39" s="355"/>
      <c r="AG39" s="355"/>
      <c r="AH39" s="355"/>
      <c r="AI39" s="355"/>
      <c r="AJ39" s="355"/>
      <c r="AK39" s="354">
        <v>12</v>
      </c>
      <c r="AL39" s="354">
        <v>12</v>
      </c>
      <c r="AM39" s="355"/>
      <c r="AN39" s="61">
        <v>144</v>
      </c>
    </row>
    <row r="40" spans="1:43" s="4" customFormat="1" ht="13.8" x14ac:dyDescent="0.3">
      <c r="A40" s="331">
        <v>5399753</v>
      </c>
      <c r="B40" s="352" t="s">
        <v>74</v>
      </c>
      <c r="C40" s="352" t="s">
        <v>377</v>
      </c>
      <c r="D40" s="369" t="s">
        <v>378</v>
      </c>
      <c r="E40" s="353" t="s">
        <v>293</v>
      </c>
      <c r="F40" s="347">
        <v>0.3125</v>
      </c>
      <c r="G40" s="347" t="s">
        <v>307</v>
      </c>
      <c r="H40" s="359" t="s">
        <v>379</v>
      </c>
      <c r="I40" s="354">
        <v>12</v>
      </c>
      <c r="J40" s="354">
        <v>12</v>
      </c>
      <c r="K40" s="355"/>
      <c r="L40" s="355"/>
      <c r="M40" s="355"/>
      <c r="N40" s="354">
        <v>12</v>
      </c>
      <c r="O40" s="354">
        <v>12</v>
      </c>
      <c r="P40" s="354">
        <v>12</v>
      </c>
      <c r="Q40" s="354">
        <v>12</v>
      </c>
      <c r="R40" s="355"/>
      <c r="S40" s="355"/>
      <c r="T40" s="355"/>
      <c r="U40" s="355"/>
      <c r="V40" s="355"/>
      <c r="W40" s="354">
        <v>12</v>
      </c>
      <c r="X40" s="354">
        <v>12</v>
      </c>
      <c r="Y40" s="355"/>
      <c r="Z40" s="355"/>
      <c r="AA40" s="355"/>
      <c r="AB40" s="355"/>
      <c r="AC40" s="355"/>
      <c r="AD40" s="354">
        <v>12</v>
      </c>
      <c r="AE40" s="354">
        <v>12</v>
      </c>
      <c r="AF40" s="355"/>
      <c r="AG40" s="355"/>
      <c r="AH40" s="355"/>
      <c r="AI40" s="355"/>
      <c r="AJ40" s="355"/>
      <c r="AK40" s="354">
        <v>12</v>
      </c>
      <c r="AL40" s="354">
        <v>12</v>
      </c>
      <c r="AM40" s="355"/>
      <c r="AN40" s="61">
        <v>144</v>
      </c>
    </row>
    <row r="41" spans="1:43" s="4" customFormat="1" ht="13.8" x14ac:dyDescent="0.3">
      <c r="A41" s="331">
        <v>5810690</v>
      </c>
      <c r="B41" s="352" t="s">
        <v>43</v>
      </c>
      <c r="C41" s="352" t="s">
        <v>83</v>
      </c>
      <c r="D41" s="352" t="s">
        <v>380</v>
      </c>
      <c r="E41" s="353" t="s">
        <v>293</v>
      </c>
      <c r="F41" s="347">
        <v>0.3125</v>
      </c>
      <c r="G41" s="347" t="s">
        <v>307</v>
      </c>
      <c r="H41" s="331">
        <v>78536635</v>
      </c>
      <c r="I41" s="354">
        <v>12</v>
      </c>
      <c r="J41" s="354">
        <v>12</v>
      </c>
      <c r="K41" s="355"/>
      <c r="L41" s="355"/>
      <c r="M41" s="355"/>
      <c r="N41" s="354">
        <v>12</v>
      </c>
      <c r="O41" s="354">
        <v>12</v>
      </c>
      <c r="P41" s="354">
        <v>12</v>
      </c>
      <c r="Q41" s="354">
        <v>12</v>
      </c>
      <c r="R41" s="355"/>
      <c r="S41" s="355"/>
      <c r="T41" s="355"/>
      <c r="U41" s="355"/>
      <c r="V41" s="355"/>
      <c r="W41" s="354">
        <v>12</v>
      </c>
      <c r="X41" s="354">
        <v>12</v>
      </c>
      <c r="Y41" s="355"/>
      <c r="Z41" s="355"/>
      <c r="AA41" s="355"/>
      <c r="AB41" s="355"/>
      <c r="AC41" s="355"/>
      <c r="AD41" s="354">
        <v>12</v>
      </c>
      <c r="AE41" s="354">
        <v>12</v>
      </c>
      <c r="AF41" s="355"/>
      <c r="AG41" s="355"/>
      <c r="AH41" s="355"/>
      <c r="AI41" s="355"/>
      <c r="AJ41" s="355"/>
      <c r="AK41" s="354">
        <v>12</v>
      </c>
      <c r="AL41" s="354">
        <v>12</v>
      </c>
      <c r="AM41" s="355"/>
      <c r="AN41" s="62">
        <v>144</v>
      </c>
    </row>
    <row r="42" spans="1:43" s="4" customFormat="1" ht="13.8" x14ac:dyDescent="0.3">
      <c r="A42" s="331">
        <v>5902018</v>
      </c>
      <c r="B42" s="356" t="s">
        <v>55</v>
      </c>
      <c r="C42" s="356" t="s">
        <v>381</v>
      </c>
      <c r="D42" s="356" t="s">
        <v>382</v>
      </c>
      <c r="E42" s="357" t="s">
        <v>288</v>
      </c>
      <c r="F42" s="347">
        <v>0.3125</v>
      </c>
      <c r="G42" s="347" t="s">
        <v>307</v>
      </c>
      <c r="H42" s="331">
        <v>71786714</v>
      </c>
      <c r="I42" s="354">
        <v>12</v>
      </c>
      <c r="J42" s="354">
        <v>12</v>
      </c>
      <c r="K42" s="355"/>
      <c r="L42" s="355"/>
      <c r="M42" s="355"/>
      <c r="N42" s="354">
        <v>12</v>
      </c>
      <c r="O42" s="354">
        <v>12</v>
      </c>
      <c r="P42" s="354">
        <v>12</v>
      </c>
      <c r="Q42" s="354">
        <v>12</v>
      </c>
      <c r="R42" s="355"/>
      <c r="S42" s="355"/>
      <c r="T42" s="355"/>
      <c r="U42" s="355"/>
      <c r="V42" s="355"/>
      <c r="W42" s="354">
        <v>12</v>
      </c>
      <c r="X42" s="354">
        <v>12</v>
      </c>
      <c r="Y42" s="355"/>
      <c r="Z42" s="355"/>
      <c r="AA42" s="355"/>
      <c r="AB42" s="355"/>
      <c r="AC42" s="355"/>
      <c r="AD42" s="354">
        <v>12</v>
      </c>
      <c r="AE42" s="354">
        <v>12</v>
      </c>
      <c r="AF42" s="355"/>
      <c r="AG42" s="355"/>
      <c r="AH42" s="355"/>
      <c r="AI42" s="355"/>
      <c r="AJ42" s="355"/>
      <c r="AK42" s="354">
        <v>12</v>
      </c>
      <c r="AL42" s="354">
        <v>12</v>
      </c>
      <c r="AM42" s="355"/>
      <c r="AN42" s="62">
        <v>144</v>
      </c>
    </row>
    <row r="43" spans="1:43" s="4" customFormat="1" ht="13.8" x14ac:dyDescent="0.3">
      <c r="A43" s="331">
        <v>7676738</v>
      </c>
      <c r="B43" s="352" t="s">
        <v>383</v>
      </c>
      <c r="C43" s="352" t="s">
        <v>384</v>
      </c>
      <c r="D43" s="352" t="s">
        <v>236</v>
      </c>
      <c r="E43" s="353" t="s">
        <v>362</v>
      </c>
      <c r="F43" s="347">
        <v>0.3125</v>
      </c>
      <c r="G43" s="347" t="s">
        <v>307</v>
      </c>
      <c r="H43" s="331">
        <v>70201746</v>
      </c>
      <c r="I43" s="354">
        <v>12</v>
      </c>
      <c r="J43" s="354">
        <v>12</v>
      </c>
      <c r="K43" s="355"/>
      <c r="L43" s="355"/>
      <c r="M43" s="355"/>
      <c r="N43" s="354">
        <v>12</v>
      </c>
      <c r="O43" s="354">
        <v>12</v>
      </c>
      <c r="P43" s="354">
        <v>12</v>
      </c>
      <c r="Q43" s="354">
        <v>12</v>
      </c>
      <c r="R43" s="355"/>
      <c r="S43" s="355"/>
      <c r="T43" s="355"/>
      <c r="U43" s="355"/>
      <c r="V43" s="355"/>
      <c r="W43" s="354">
        <v>12</v>
      </c>
      <c r="X43" s="354">
        <v>12</v>
      </c>
      <c r="Y43" s="355"/>
      <c r="Z43" s="355"/>
      <c r="AA43" s="355"/>
      <c r="AB43" s="355"/>
      <c r="AC43" s="355"/>
      <c r="AD43" s="354">
        <v>12</v>
      </c>
      <c r="AE43" s="354">
        <v>12</v>
      </c>
      <c r="AF43" s="355"/>
      <c r="AG43" s="355"/>
      <c r="AH43" s="355"/>
      <c r="AI43" s="355"/>
      <c r="AJ43" s="355"/>
      <c r="AK43" s="354">
        <v>12</v>
      </c>
      <c r="AL43" s="354">
        <v>12</v>
      </c>
      <c r="AM43" s="355"/>
      <c r="AN43" s="62">
        <v>144</v>
      </c>
    </row>
    <row r="44" spans="1:43" s="4" customFormat="1" ht="13.8" x14ac:dyDescent="0.3">
      <c r="A44" s="1078"/>
      <c r="B44" s="1078"/>
      <c r="C44" s="1078"/>
      <c r="D44" s="1078"/>
      <c r="E44" s="1078"/>
      <c r="F44" s="1078"/>
      <c r="G44" s="1078"/>
      <c r="H44" s="1078"/>
      <c r="I44" s="1078"/>
      <c r="J44" s="1078"/>
      <c r="K44" s="1078"/>
      <c r="L44" s="1078"/>
      <c r="M44" s="1078"/>
      <c r="N44" s="1078"/>
      <c r="O44" s="1078"/>
      <c r="P44" s="1078"/>
      <c r="Q44" s="1078"/>
      <c r="R44" s="1078"/>
      <c r="S44" s="1078"/>
      <c r="T44" s="1078"/>
      <c r="U44" s="1078"/>
      <c r="V44" s="1078"/>
      <c r="W44" s="1078"/>
      <c r="X44" s="1078"/>
      <c r="Y44" s="1078"/>
      <c r="Z44" s="1078"/>
      <c r="AA44" s="1078"/>
      <c r="AB44" s="1078"/>
      <c r="AC44" s="1078"/>
      <c r="AD44" s="1078"/>
      <c r="AE44" s="1078"/>
      <c r="AF44" s="1078"/>
      <c r="AG44" s="1078"/>
      <c r="AH44" s="1078"/>
      <c r="AI44" s="1078"/>
      <c r="AJ44" s="1078"/>
    </row>
    <row r="45" spans="1:43" s="4" customFormat="1" ht="13.8" x14ac:dyDescent="0.3">
      <c r="A45" s="1078" t="s">
        <v>385</v>
      </c>
      <c r="B45" s="1078"/>
      <c r="C45" s="1078"/>
      <c r="D45" s="1078"/>
      <c r="E45" s="1078"/>
      <c r="F45" s="1078"/>
      <c r="G45" s="1078"/>
      <c r="H45" s="1078"/>
      <c r="I45" s="1078"/>
      <c r="J45" s="1078"/>
      <c r="K45" s="1078"/>
      <c r="L45" s="1078"/>
      <c r="M45" s="1078"/>
      <c r="N45" s="1078"/>
      <c r="O45" s="1078"/>
      <c r="P45" s="1078"/>
      <c r="Q45" s="1078"/>
      <c r="R45" s="1078"/>
      <c r="S45" s="1078"/>
      <c r="T45" s="1078"/>
      <c r="U45" s="1078"/>
      <c r="V45" s="1078"/>
      <c r="W45" s="1078"/>
      <c r="X45" s="1078"/>
      <c r="Y45" s="1078"/>
      <c r="Z45" s="1078"/>
      <c r="AA45" s="1078"/>
      <c r="AB45" s="1078"/>
      <c r="AC45" s="1078"/>
      <c r="AD45" s="1078"/>
      <c r="AE45" s="1078"/>
      <c r="AF45" s="1078"/>
      <c r="AG45" s="1078"/>
      <c r="AH45" s="1078"/>
      <c r="AI45" s="1078"/>
      <c r="AJ45" s="1078"/>
      <c r="AK45" s="1078"/>
      <c r="AL45" s="1078"/>
      <c r="AM45" s="1078"/>
      <c r="AN45" s="1078"/>
    </row>
    <row r="46" spans="1:43" s="4" customFormat="1" ht="13.8" x14ac:dyDescent="0.3">
      <c r="A46" s="1079" t="s">
        <v>386</v>
      </c>
      <c r="B46" s="1079"/>
      <c r="C46" s="1079"/>
      <c r="D46" s="1079"/>
      <c r="E46" s="1079"/>
      <c r="F46" s="1079"/>
      <c r="G46" s="1079"/>
      <c r="H46" s="1079"/>
      <c r="I46" s="1079"/>
      <c r="J46" s="1079"/>
      <c r="K46" s="1079"/>
      <c r="L46" s="1079"/>
      <c r="M46" s="1079"/>
      <c r="N46" s="1079"/>
      <c r="O46" s="1079"/>
      <c r="P46" s="1079"/>
      <c r="Q46" s="1079"/>
      <c r="R46" s="1079"/>
      <c r="S46" s="1079"/>
      <c r="T46" s="1079"/>
      <c r="U46" s="1079"/>
      <c r="V46" s="1079"/>
      <c r="W46" s="1079"/>
      <c r="X46" s="1079"/>
      <c r="Y46" s="1079"/>
      <c r="Z46" s="1079"/>
      <c r="AA46" s="1079"/>
      <c r="AB46" s="1079"/>
      <c r="AC46" s="1079"/>
      <c r="AD46" s="1079"/>
      <c r="AE46" s="1079"/>
      <c r="AF46" s="1079"/>
      <c r="AG46" s="1079"/>
      <c r="AH46" s="1079"/>
      <c r="AI46" s="1079"/>
      <c r="AJ46" s="1079"/>
      <c r="AK46" s="1079"/>
      <c r="AL46" s="1079"/>
      <c r="AM46" s="1079"/>
      <c r="AN46" s="1079"/>
      <c r="AO46" s="1079"/>
    </row>
    <row r="47" spans="1:43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3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spans="1:43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64"/>
      <c r="AP49" s="7"/>
      <c r="AQ49" s="7"/>
    </row>
    <row r="50" spans="1:43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</sheetData>
  <mergeCells count="22">
    <mergeCell ref="I34:W34"/>
    <mergeCell ref="X35:AM35"/>
    <mergeCell ref="A44:AJ44"/>
    <mergeCell ref="A45:AN45"/>
    <mergeCell ref="A46:AO46"/>
    <mergeCell ref="AN3:AN4"/>
    <mergeCell ref="K5:Z5"/>
    <mergeCell ref="AA6:AM6"/>
    <mergeCell ref="I8:AM8"/>
    <mergeCell ref="Z14:AM14"/>
    <mergeCell ref="I31:X31"/>
    <mergeCell ref="A3:A4"/>
    <mergeCell ref="B3:B4"/>
    <mergeCell ref="C3:C4"/>
    <mergeCell ref="D3:D4"/>
    <mergeCell ref="E3:E4"/>
    <mergeCell ref="H3:H4"/>
    <mergeCell ref="A1:E2"/>
    <mergeCell ref="F1:AE1"/>
    <mergeCell ref="AF1:AO1"/>
    <mergeCell ref="F2:AE2"/>
    <mergeCell ref="AF2:A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"/>
  <sheetViews>
    <sheetView workbookViewId="0">
      <selection activeCell="A4" sqref="A4"/>
    </sheetView>
  </sheetViews>
  <sheetFormatPr baseColWidth="10" defaultColWidth="11.44140625" defaultRowHeight="12" x14ac:dyDescent="0.25"/>
  <cols>
    <col min="1" max="4" width="11.44140625" style="199"/>
    <col min="5" max="5" width="9.109375" style="199" customWidth="1"/>
    <col min="6" max="6" width="10" style="199" customWidth="1"/>
    <col min="7" max="7" width="10.33203125" style="199" customWidth="1"/>
    <col min="8" max="8" width="11.44140625" style="199"/>
    <col min="9" max="9" width="2.6640625" style="199" bestFit="1" customWidth="1"/>
    <col min="10" max="10" width="2.6640625" style="199" customWidth="1"/>
    <col min="11" max="11" width="2.44140625" style="199" customWidth="1"/>
    <col min="12" max="17" width="2.6640625" style="199" bestFit="1" customWidth="1"/>
    <col min="18" max="25" width="3" style="199" bestFit="1" customWidth="1"/>
    <col min="26" max="26" width="2.5546875" style="199" customWidth="1"/>
    <col min="27" max="36" width="3" style="199" bestFit="1" customWidth="1"/>
    <col min="37" max="39" width="2.6640625" style="199" bestFit="1" customWidth="1"/>
    <col min="40" max="40" width="7.6640625" style="199" customWidth="1"/>
    <col min="41" max="16384" width="11.44140625" style="199"/>
  </cols>
  <sheetData>
    <row r="1" spans="1:40" ht="15" x14ac:dyDescent="0.25">
      <c r="A1" s="1080" t="s">
        <v>387</v>
      </c>
      <c r="B1" s="1080"/>
      <c r="C1" s="1080"/>
      <c r="D1" s="1080"/>
      <c r="E1" s="1080"/>
      <c r="F1" s="1080"/>
      <c r="G1" s="1080"/>
      <c r="H1" s="1081"/>
      <c r="I1" s="370"/>
      <c r="J1" s="371"/>
      <c r="K1" s="371" t="s">
        <v>388</v>
      </c>
      <c r="L1" s="371"/>
      <c r="M1" s="371"/>
      <c r="N1" s="371"/>
      <c r="O1" s="371"/>
      <c r="P1" s="371"/>
      <c r="Q1" s="372"/>
      <c r="R1" s="372"/>
      <c r="S1" s="372"/>
      <c r="T1" s="372"/>
      <c r="U1" s="372"/>
      <c r="V1" s="372"/>
      <c r="W1" s="372"/>
      <c r="X1" s="373"/>
      <c r="Y1" s="373"/>
      <c r="Z1" s="373"/>
      <c r="AA1" s="373"/>
      <c r="AB1" s="373"/>
      <c r="AC1" s="373"/>
      <c r="AD1" s="373"/>
      <c r="AE1" s="373"/>
      <c r="AF1" s="374"/>
      <c r="AG1" s="375"/>
      <c r="AH1" s="376"/>
      <c r="AI1" s="374"/>
      <c r="AJ1" s="374"/>
    </row>
    <row r="2" spans="1:40" ht="15" x14ac:dyDescent="0.25">
      <c r="A2" s="371"/>
      <c r="B2" s="371"/>
      <c r="C2" s="371"/>
      <c r="D2" s="377"/>
      <c r="E2" s="378"/>
      <c r="F2" s="371"/>
      <c r="G2" s="1082" t="s">
        <v>389</v>
      </c>
      <c r="H2" s="1083"/>
      <c r="I2" s="1083"/>
      <c r="J2" s="1083"/>
      <c r="K2" s="1083"/>
      <c r="L2" s="1083"/>
      <c r="M2" s="1083"/>
      <c r="N2" s="1083"/>
      <c r="O2" s="1083"/>
      <c r="P2" s="1083"/>
      <c r="Q2" s="1083"/>
      <c r="R2" s="1083"/>
      <c r="S2" s="1083"/>
      <c r="T2" s="1083"/>
      <c r="U2" s="1083"/>
      <c r="V2" s="1083"/>
      <c r="W2" s="1083"/>
      <c r="X2" s="1083"/>
      <c r="Y2" s="1083"/>
      <c r="Z2" s="1083"/>
      <c r="AA2" s="1083"/>
      <c r="AB2" s="1083"/>
      <c r="AC2" s="1083"/>
      <c r="AD2" s="1083"/>
      <c r="AE2" s="1084"/>
      <c r="AF2" s="379"/>
      <c r="AG2" s="380"/>
      <c r="AH2" s="110"/>
      <c r="AI2" s="379"/>
      <c r="AJ2" s="379"/>
    </row>
    <row r="3" spans="1:40" ht="13.2" x14ac:dyDescent="0.25">
      <c r="A3" s="371" t="s">
        <v>390</v>
      </c>
      <c r="B3" s="371" t="s">
        <v>2</v>
      </c>
      <c r="C3" s="371"/>
      <c r="D3" s="377" t="s">
        <v>391</v>
      </c>
      <c r="E3" s="377"/>
      <c r="F3" s="371"/>
      <c r="G3" s="381"/>
      <c r="H3" s="382"/>
      <c r="I3" s="383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  <c r="AB3" s="384"/>
      <c r="AC3" s="384"/>
      <c r="AD3" s="384"/>
      <c r="AE3" s="384"/>
      <c r="AF3" s="385"/>
      <c r="AG3" s="385"/>
      <c r="AH3" s="385"/>
      <c r="AI3" s="385"/>
      <c r="AJ3" s="385"/>
    </row>
    <row r="4" spans="1:40" ht="24" x14ac:dyDescent="0.25">
      <c r="A4" s="386" t="s">
        <v>126</v>
      </c>
      <c r="B4" s="387" t="s">
        <v>7</v>
      </c>
      <c r="C4" s="387" t="s">
        <v>8</v>
      </c>
      <c r="D4" s="388" t="s">
        <v>9</v>
      </c>
      <c r="E4" s="388" t="s">
        <v>10</v>
      </c>
      <c r="F4" s="387" t="s">
        <v>392</v>
      </c>
      <c r="G4" s="387" t="s">
        <v>393</v>
      </c>
      <c r="H4" s="387" t="s">
        <v>130</v>
      </c>
      <c r="I4" s="389">
        <v>1</v>
      </c>
      <c r="J4" s="389">
        <v>2</v>
      </c>
      <c r="K4" s="390">
        <v>3</v>
      </c>
      <c r="L4" s="390">
        <v>4</v>
      </c>
      <c r="M4" s="390">
        <v>5</v>
      </c>
      <c r="N4" s="389">
        <v>6</v>
      </c>
      <c r="O4" s="389">
        <v>7</v>
      </c>
      <c r="P4" s="389">
        <v>8</v>
      </c>
      <c r="Q4" s="389">
        <v>9</v>
      </c>
      <c r="R4" s="390">
        <v>10</v>
      </c>
      <c r="S4" s="390">
        <v>11</v>
      </c>
      <c r="T4" s="390">
        <v>12</v>
      </c>
      <c r="U4" s="390">
        <v>13</v>
      </c>
      <c r="V4" s="390">
        <v>14</v>
      </c>
      <c r="W4" s="389">
        <v>15</v>
      </c>
      <c r="X4" s="389">
        <v>16</v>
      </c>
      <c r="Y4" s="390">
        <v>17</v>
      </c>
      <c r="Z4" s="390">
        <v>18</v>
      </c>
      <c r="AA4" s="390">
        <v>19</v>
      </c>
      <c r="AB4" s="390">
        <v>20</v>
      </c>
      <c r="AC4" s="390">
        <v>21</v>
      </c>
      <c r="AD4" s="389">
        <v>22</v>
      </c>
      <c r="AE4" s="389">
        <v>23</v>
      </c>
      <c r="AF4" s="390">
        <v>24</v>
      </c>
      <c r="AG4" s="390">
        <v>25</v>
      </c>
      <c r="AH4" s="390">
        <v>26</v>
      </c>
      <c r="AI4" s="390">
        <v>27</v>
      </c>
      <c r="AJ4" s="390">
        <v>28</v>
      </c>
      <c r="AK4" s="391">
        <v>29</v>
      </c>
      <c r="AL4" s="391">
        <v>30</v>
      </c>
      <c r="AM4" s="392">
        <v>31</v>
      </c>
      <c r="AN4" s="392" t="s">
        <v>394</v>
      </c>
    </row>
    <row r="5" spans="1:40" x14ac:dyDescent="0.25">
      <c r="A5" s="386"/>
      <c r="B5" s="387"/>
      <c r="C5" s="387"/>
      <c r="D5" s="388"/>
      <c r="E5" s="388"/>
      <c r="F5" s="387"/>
      <c r="G5" s="387"/>
      <c r="H5" s="387"/>
      <c r="I5" s="393" t="s">
        <v>16</v>
      </c>
      <c r="J5" s="389" t="s">
        <v>17</v>
      </c>
      <c r="K5" s="390" t="s">
        <v>18</v>
      </c>
      <c r="L5" s="390" t="s">
        <v>19</v>
      </c>
      <c r="M5" s="390" t="s">
        <v>19</v>
      </c>
      <c r="N5" s="389" t="s">
        <v>20</v>
      </c>
      <c r="O5" s="389" t="s">
        <v>21</v>
      </c>
      <c r="P5" s="389" t="s">
        <v>16</v>
      </c>
      <c r="Q5" s="389" t="s">
        <v>17</v>
      </c>
      <c r="R5" s="390" t="s">
        <v>18</v>
      </c>
      <c r="S5" s="390" t="s">
        <v>19</v>
      </c>
      <c r="T5" s="390" t="s">
        <v>19</v>
      </c>
      <c r="U5" s="390" t="s">
        <v>20</v>
      </c>
      <c r="V5" s="390" t="s">
        <v>21</v>
      </c>
      <c r="W5" s="389" t="s">
        <v>16</v>
      </c>
      <c r="X5" s="389" t="s">
        <v>17</v>
      </c>
      <c r="Y5" s="390" t="s">
        <v>18</v>
      </c>
      <c r="Z5" s="390" t="s">
        <v>19</v>
      </c>
      <c r="AA5" s="390" t="s">
        <v>19</v>
      </c>
      <c r="AB5" s="390" t="s">
        <v>20</v>
      </c>
      <c r="AC5" s="390" t="s">
        <v>21</v>
      </c>
      <c r="AD5" s="389" t="s">
        <v>16</v>
      </c>
      <c r="AE5" s="389" t="s">
        <v>17</v>
      </c>
      <c r="AF5" s="390" t="s">
        <v>18</v>
      </c>
      <c r="AG5" s="390" t="s">
        <v>19</v>
      </c>
      <c r="AH5" s="390" t="s">
        <v>19</v>
      </c>
      <c r="AI5" s="390" t="s">
        <v>20</v>
      </c>
      <c r="AJ5" s="390" t="s">
        <v>21</v>
      </c>
      <c r="AK5" s="394" t="s">
        <v>16</v>
      </c>
      <c r="AL5" s="394" t="s">
        <v>17</v>
      </c>
      <c r="AM5" s="386" t="s">
        <v>18</v>
      </c>
      <c r="AN5" s="227"/>
    </row>
    <row r="6" spans="1:40" x14ac:dyDescent="0.25">
      <c r="A6" s="371">
        <v>7791994</v>
      </c>
      <c r="B6" s="395" t="s">
        <v>340</v>
      </c>
      <c r="C6" s="395" t="s">
        <v>229</v>
      </c>
      <c r="D6" s="395" t="s">
        <v>395</v>
      </c>
      <c r="E6" s="396" t="s">
        <v>396</v>
      </c>
      <c r="F6" s="397">
        <v>0.33333333333333298</v>
      </c>
      <c r="G6" s="398" t="s">
        <v>397</v>
      </c>
      <c r="H6" s="395">
        <v>76698358</v>
      </c>
      <c r="I6" s="399"/>
      <c r="J6" s="399"/>
      <c r="K6" s="221">
        <v>6</v>
      </c>
      <c r="L6" s="221">
        <v>6</v>
      </c>
      <c r="M6" s="221">
        <v>6</v>
      </c>
      <c r="N6" s="399"/>
      <c r="O6" s="399"/>
      <c r="P6" s="399"/>
      <c r="Q6" s="399"/>
      <c r="R6" s="221">
        <v>6</v>
      </c>
      <c r="S6" s="221">
        <v>6</v>
      </c>
      <c r="T6" s="221">
        <v>6</v>
      </c>
      <c r="U6" s="221">
        <v>6</v>
      </c>
      <c r="V6" s="221">
        <v>6</v>
      </c>
      <c r="W6" s="399"/>
      <c r="X6" s="399"/>
      <c r="Y6" s="221">
        <v>6</v>
      </c>
      <c r="Z6" s="221">
        <v>6</v>
      </c>
      <c r="AA6" s="221">
        <v>6</v>
      </c>
      <c r="AB6" s="221">
        <v>6</v>
      </c>
      <c r="AC6" s="221">
        <v>6</v>
      </c>
      <c r="AD6" s="399"/>
      <c r="AE6" s="399"/>
      <c r="AF6" s="221">
        <v>6</v>
      </c>
      <c r="AG6" s="221">
        <v>6</v>
      </c>
      <c r="AH6" s="221">
        <v>6</v>
      </c>
      <c r="AI6" s="221">
        <v>6</v>
      </c>
      <c r="AJ6" s="221">
        <v>6</v>
      </c>
      <c r="AK6" s="400"/>
      <c r="AL6" s="401"/>
      <c r="AM6" s="402">
        <v>6</v>
      </c>
      <c r="AN6" s="402">
        <f>SUM(K6:AM6)</f>
        <v>114</v>
      </c>
    </row>
    <row r="7" spans="1:40" x14ac:dyDescent="0.25">
      <c r="A7" s="403">
        <v>7666706</v>
      </c>
      <c r="B7" s="404" t="s">
        <v>398</v>
      </c>
      <c r="C7" s="404" t="s">
        <v>399</v>
      </c>
      <c r="D7" s="395" t="s">
        <v>400</v>
      </c>
      <c r="E7" s="405" t="s">
        <v>401</v>
      </c>
      <c r="F7" s="397">
        <v>0.3125</v>
      </c>
      <c r="G7" s="397" t="s">
        <v>237</v>
      </c>
      <c r="H7" s="406">
        <v>77823186</v>
      </c>
      <c r="I7" s="399"/>
      <c r="J7" s="399"/>
      <c r="K7" s="221">
        <v>5</v>
      </c>
      <c r="L7" s="221">
        <v>5</v>
      </c>
      <c r="M7" s="407" t="s">
        <v>21</v>
      </c>
      <c r="N7" s="407"/>
      <c r="O7" s="407" t="s">
        <v>402</v>
      </c>
      <c r="P7" s="407"/>
      <c r="Q7" s="407" t="s">
        <v>403</v>
      </c>
      <c r="R7" s="407"/>
      <c r="S7" s="407" t="s">
        <v>402</v>
      </c>
      <c r="T7" s="407"/>
      <c r="U7" s="407" t="s">
        <v>403</v>
      </c>
      <c r="V7" s="407"/>
      <c r="W7" s="407" t="s">
        <v>404</v>
      </c>
      <c r="X7" s="407"/>
      <c r="Y7" s="407" t="s">
        <v>405</v>
      </c>
      <c r="Z7" s="407"/>
      <c r="AA7" s="407"/>
      <c r="AB7" s="407" t="s">
        <v>406</v>
      </c>
      <c r="AC7" s="221">
        <v>6</v>
      </c>
      <c r="AD7" s="399"/>
      <c r="AE7" s="399"/>
      <c r="AF7" s="221">
        <v>6</v>
      </c>
      <c r="AG7" s="221">
        <v>6</v>
      </c>
      <c r="AH7" s="221">
        <v>6</v>
      </c>
      <c r="AI7" s="221">
        <v>6</v>
      </c>
      <c r="AJ7" s="221">
        <v>6</v>
      </c>
      <c r="AK7" s="399"/>
      <c r="AL7" s="408"/>
      <c r="AM7" s="402">
        <v>6</v>
      </c>
      <c r="AN7" s="402">
        <f>SUM(K7:AM7)</f>
        <v>52</v>
      </c>
    </row>
    <row r="8" spans="1:40" x14ac:dyDescent="0.25">
      <c r="A8" s="403">
        <v>8228965</v>
      </c>
      <c r="B8" s="409" t="s">
        <v>407</v>
      </c>
      <c r="C8" s="404" t="s">
        <v>408</v>
      </c>
      <c r="D8" s="395" t="s">
        <v>409</v>
      </c>
      <c r="E8" s="410" t="s">
        <v>410</v>
      </c>
      <c r="F8" s="397">
        <v>0.3125</v>
      </c>
      <c r="G8" s="398" t="s">
        <v>237</v>
      </c>
      <c r="H8" s="406">
        <v>68831808</v>
      </c>
      <c r="I8" s="399"/>
      <c r="J8" s="399"/>
      <c r="K8" s="221">
        <v>6</v>
      </c>
      <c r="L8" s="221">
        <v>6</v>
      </c>
      <c r="M8" s="221">
        <v>6</v>
      </c>
      <c r="N8" s="399"/>
      <c r="O8" s="399"/>
      <c r="P8" s="399"/>
      <c r="Q8" s="399"/>
      <c r="R8" s="402">
        <v>6</v>
      </c>
      <c r="S8" s="402">
        <v>6</v>
      </c>
      <c r="T8" s="221">
        <v>6</v>
      </c>
      <c r="U8" s="221">
        <v>6</v>
      </c>
      <c r="V8" s="221">
        <v>6</v>
      </c>
      <c r="W8" s="399"/>
      <c r="X8" s="399"/>
      <c r="Y8" s="221">
        <v>6</v>
      </c>
      <c r="Z8" s="411">
        <v>6</v>
      </c>
      <c r="AA8" s="411">
        <v>6</v>
      </c>
      <c r="AB8" s="411">
        <v>6</v>
      </c>
      <c r="AC8" s="411">
        <v>6</v>
      </c>
      <c r="AD8" s="412"/>
      <c r="AE8" s="412"/>
      <c r="AF8" s="411">
        <v>6</v>
      </c>
      <c r="AG8" s="411">
        <v>6</v>
      </c>
      <c r="AH8" s="411">
        <v>6</v>
      </c>
      <c r="AI8" s="411">
        <v>6</v>
      </c>
      <c r="AJ8" s="411">
        <v>6</v>
      </c>
      <c r="AK8" s="412"/>
      <c r="AL8" s="413"/>
      <c r="AM8" s="414">
        <v>6</v>
      </c>
      <c r="AN8" s="402">
        <f t="shared" ref="AN8:AN13" si="0">SUM(K8:AM8)</f>
        <v>114</v>
      </c>
    </row>
    <row r="9" spans="1:40" x14ac:dyDescent="0.25">
      <c r="A9" s="415">
        <v>8410001</v>
      </c>
      <c r="B9" s="416" t="s">
        <v>411</v>
      </c>
      <c r="C9" s="416" t="s">
        <v>412</v>
      </c>
      <c r="D9" s="417" t="s">
        <v>413</v>
      </c>
      <c r="E9" s="416" t="s">
        <v>414</v>
      </c>
      <c r="F9" s="418">
        <v>0.3125</v>
      </c>
      <c r="G9" s="419" t="s">
        <v>226</v>
      </c>
      <c r="H9" s="420">
        <v>68846503</v>
      </c>
      <c r="I9" s="399"/>
      <c r="J9" s="399"/>
      <c r="K9" s="221">
        <v>6</v>
      </c>
      <c r="L9" s="221">
        <v>6</v>
      </c>
      <c r="M9" s="221">
        <v>6</v>
      </c>
      <c r="N9" s="399"/>
      <c r="O9" s="399"/>
      <c r="P9" s="399"/>
      <c r="Q9" s="399"/>
      <c r="R9" s="221">
        <v>6</v>
      </c>
      <c r="S9" s="221">
        <v>6</v>
      </c>
      <c r="T9" s="221">
        <v>6</v>
      </c>
      <c r="U9" s="221">
        <v>6</v>
      </c>
      <c r="V9" s="221">
        <v>6</v>
      </c>
      <c r="W9" s="399"/>
      <c r="X9" s="399"/>
      <c r="Y9" s="421">
        <v>6</v>
      </c>
      <c r="Z9" s="422" t="s">
        <v>415</v>
      </c>
      <c r="AA9" s="423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5"/>
      <c r="AM9" s="426"/>
      <c r="AN9" s="427">
        <f t="shared" si="0"/>
        <v>54</v>
      </c>
    </row>
    <row r="10" spans="1:40" x14ac:dyDescent="0.25">
      <c r="A10" s="390">
        <v>11337804</v>
      </c>
      <c r="B10" s="416" t="s">
        <v>416</v>
      </c>
      <c r="C10" s="417" t="s">
        <v>417</v>
      </c>
      <c r="D10" s="417" t="s">
        <v>418</v>
      </c>
      <c r="E10" s="416" t="s">
        <v>414</v>
      </c>
      <c r="F10" s="418">
        <v>0.3125</v>
      </c>
      <c r="G10" s="419" t="s">
        <v>237</v>
      </c>
      <c r="H10" s="417" t="s">
        <v>419</v>
      </c>
      <c r="I10" s="408"/>
      <c r="J10" s="399"/>
      <c r="K10" s="221">
        <v>6</v>
      </c>
      <c r="L10" s="221">
        <v>6</v>
      </c>
      <c r="M10" s="221">
        <v>6</v>
      </c>
      <c r="N10" s="399"/>
      <c r="O10" s="399"/>
      <c r="P10" s="399"/>
      <c r="Q10" s="399"/>
      <c r="R10" s="221">
        <v>6</v>
      </c>
      <c r="S10" s="221">
        <v>6</v>
      </c>
      <c r="T10" s="428"/>
      <c r="U10" s="221">
        <v>6</v>
      </c>
      <c r="V10" s="221">
        <v>6</v>
      </c>
      <c r="W10" s="399"/>
      <c r="X10" s="399"/>
      <c r="Y10" s="429">
        <v>12</v>
      </c>
      <c r="Z10" s="430">
        <v>6</v>
      </c>
      <c r="AA10" s="430">
        <v>6</v>
      </c>
      <c r="AB10" s="430">
        <v>6</v>
      </c>
      <c r="AC10" s="430">
        <v>6</v>
      </c>
      <c r="AD10" s="431"/>
      <c r="AE10" s="431"/>
      <c r="AF10" s="430">
        <v>6</v>
      </c>
      <c r="AG10" s="430">
        <v>6</v>
      </c>
      <c r="AH10" s="430">
        <v>6</v>
      </c>
      <c r="AI10" s="430">
        <v>6</v>
      </c>
      <c r="AJ10" s="430">
        <v>6</v>
      </c>
      <c r="AK10" s="431"/>
      <c r="AL10" s="432"/>
      <c r="AM10" s="433">
        <v>6</v>
      </c>
      <c r="AN10" s="402">
        <f t="shared" si="0"/>
        <v>114</v>
      </c>
    </row>
    <row r="11" spans="1:40" x14ac:dyDescent="0.25">
      <c r="A11" s="377">
        <v>5928653</v>
      </c>
      <c r="B11" s="395" t="s">
        <v>420</v>
      </c>
      <c r="C11" s="395" t="s">
        <v>421</v>
      </c>
      <c r="D11" s="395" t="s">
        <v>265</v>
      </c>
      <c r="E11" s="396" t="s">
        <v>410</v>
      </c>
      <c r="F11" s="397" t="s">
        <v>226</v>
      </c>
      <c r="G11" s="398" t="s">
        <v>242</v>
      </c>
      <c r="H11" s="395">
        <v>67872736</v>
      </c>
      <c r="I11" s="400"/>
      <c r="J11" s="399"/>
      <c r="K11" s="221">
        <v>6</v>
      </c>
      <c r="L11" s="221">
        <v>6</v>
      </c>
      <c r="M11" s="221">
        <v>6</v>
      </c>
      <c r="N11" s="399"/>
      <c r="O11" s="399"/>
      <c r="P11" s="399"/>
      <c r="Q11" s="399"/>
      <c r="R11" s="221">
        <v>6</v>
      </c>
      <c r="S11" s="221">
        <v>6</v>
      </c>
      <c r="T11" s="221">
        <v>6</v>
      </c>
      <c r="U11" s="221">
        <v>6</v>
      </c>
      <c r="V11" s="221">
        <v>6</v>
      </c>
      <c r="W11" s="400"/>
      <c r="X11" s="400"/>
      <c r="Y11" s="221">
        <v>6</v>
      </c>
      <c r="Z11" s="221">
        <v>6</v>
      </c>
      <c r="AA11" s="221">
        <v>6</v>
      </c>
      <c r="AB11" s="221">
        <v>6</v>
      </c>
      <c r="AC11" s="221">
        <v>6</v>
      </c>
      <c r="AD11" s="399"/>
      <c r="AE11" s="399"/>
      <c r="AF11" s="221">
        <v>6</v>
      </c>
      <c r="AG11" s="221">
        <v>6</v>
      </c>
      <c r="AH11" s="221">
        <v>6</v>
      </c>
      <c r="AI11" s="221">
        <v>6</v>
      </c>
      <c r="AJ11" s="221">
        <v>6</v>
      </c>
      <c r="AK11" s="399"/>
      <c r="AL11" s="408"/>
      <c r="AM11" s="402">
        <v>6</v>
      </c>
      <c r="AN11" s="402">
        <f t="shared" si="0"/>
        <v>114</v>
      </c>
    </row>
    <row r="12" spans="1:40" x14ac:dyDescent="0.25">
      <c r="A12" s="377">
        <v>8878496</v>
      </c>
      <c r="B12" s="395" t="s">
        <v>422</v>
      </c>
      <c r="C12" s="395" t="s">
        <v>229</v>
      </c>
      <c r="D12" s="395" t="s">
        <v>423</v>
      </c>
      <c r="E12" s="395" t="s">
        <v>410</v>
      </c>
      <c r="F12" s="397" t="s">
        <v>237</v>
      </c>
      <c r="G12" s="398" t="s">
        <v>214</v>
      </c>
      <c r="H12" s="395">
        <v>76648505</v>
      </c>
      <c r="I12" s="399"/>
      <c r="J12" s="399"/>
      <c r="K12" s="221">
        <v>6</v>
      </c>
      <c r="L12" s="402">
        <v>6</v>
      </c>
      <c r="M12" s="402">
        <v>6</v>
      </c>
      <c r="N12" s="399"/>
      <c r="O12" s="399"/>
      <c r="P12" s="399"/>
      <c r="Q12" s="399"/>
      <c r="R12" s="221">
        <v>6</v>
      </c>
      <c r="S12" s="221">
        <v>6</v>
      </c>
      <c r="T12" s="221">
        <v>6</v>
      </c>
      <c r="U12" s="221">
        <v>6</v>
      </c>
      <c r="V12" s="221">
        <v>6</v>
      </c>
      <c r="W12" s="400"/>
      <c r="X12" s="400"/>
      <c r="Y12" s="221">
        <v>6</v>
      </c>
      <c r="Z12" s="221">
        <v>6</v>
      </c>
      <c r="AA12" s="221">
        <v>6</v>
      </c>
      <c r="AB12" s="221">
        <v>6</v>
      </c>
      <c r="AC12" s="221">
        <v>6</v>
      </c>
      <c r="AD12" s="399"/>
      <c r="AE12" s="399"/>
      <c r="AF12" s="221">
        <v>6</v>
      </c>
      <c r="AG12" s="221">
        <v>6</v>
      </c>
      <c r="AH12" s="221">
        <v>6</v>
      </c>
      <c r="AI12" s="221">
        <v>6</v>
      </c>
      <c r="AJ12" s="221">
        <v>6</v>
      </c>
      <c r="AK12" s="399"/>
      <c r="AL12" s="408"/>
      <c r="AM12" s="402">
        <v>6</v>
      </c>
      <c r="AN12" s="402">
        <f t="shared" si="0"/>
        <v>114</v>
      </c>
    </row>
    <row r="13" spans="1:40" x14ac:dyDescent="0.25">
      <c r="A13" s="386">
        <v>9044949</v>
      </c>
      <c r="B13" s="416" t="s">
        <v>424</v>
      </c>
      <c r="C13" s="416" t="s">
        <v>425</v>
      </c>
      <c r="D13" s="434" t="s">
        <v>426</v>
      </c>
      <c r="E13" s="416" t="s">
        <v>414</v>
      </c>
      <c r="F13" s="418" t="s">
        <v>226</v>
      </c>
      <c r="G13" s="435" t="s">
        <v>242</v>
      </c>
      <c r="H13" s="436" t="s">
        <v>427</v>
      </c>
      <c r="I13" s="400"/>
      <c r="J13" s="400"/>
      <c r="K13" s="221">
        <v>6</v>
      </c>
      <c r="L13" s="221">
        <v>6</v>
      </c>
      <c r="M13" s="221">
        <v>6</v>
      </c>
      <c r="N13" s="399"/>
      <c r="O13" s="399"/>
      <c r="P13" s="399"/>
      <c r="Q13" s="399"/>
      <c r="R13" s="221">
        <v>6</v>
      </c>
      <c r="S13" s="221">
        <v>6</v>
      </c>
      <c r="T13" s="429">
        <v>12</v>
      </c>
      <c r="U13" s="221">
        <v>6</v>
      </c>
      <c r="V13" s="221">
        <v>6</v>
      </c>
      <c r="W13" s="400"/>
      <c r="X13" s="400"/>
      <c r="Y13" s="428"/>
      <c r="Z13" s="437" t="s">
        <v>21</v>
      </c>
      <c r="AA13" s="437"/>
      <c r="AB13" s="437" t="s">
        <v>402</v>
      </c>
      <c r="AC13" s="437"/>
      <c r="AD13" s="437" t="s">
        <v>403</v>
      </c>
      <c r="AE13" s="437"/>
      <c r="AF13" s="437" t="s">
        <v>402</v>
      </c>
      <c r="AG13" s="437"/>
      <c r="AH13" s="437" t="s">
        <v>403</v>
      </c>
      <c r="AI13" s="437"/>
      <c r="AJ13" s="437" t="s">
        <v>404</v>
      </c>
      <c r="AK13" s="437"/>
      <c r="AL13" s="438" t="s">
        <v>405</v>
      </c>
      <c r="AM13" s="439" t="s">
        <v>406</v>
      </c>
      <c r="AN13" s="402">
        <f t="shared" si="0"/>
        <v>54</v>
      </c>
    </row>
    <row r="14" spans="1:40" x14ac:dyDescent="0.25">
      <c r="A14" s="415">
        <v>8410001</v>
      </c>
      <c r="B14" s="416" t="s">
        <v>411</v>
      </c>
      <c r="C14" s="416" t="s">
        <v>412</v>
      </c>
      <c r="D14" s="417" t="s">
        <v>413</v>
      </c>
      <c r="E14" s="416" t="s">
        <v>414</v>
      </c>
      <c r="F14" s="418" t="s">
        <v>226</v>
      </c>
      <c r="G14" s="419" t="s">
        <v>214</v>
      </c>
      <c r="H14" s="420">
        <v>68846503</v>
      </c>
      <c r="J14" s="231" t="s">
        <v>428</v>
      </c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Z14" s="440">
        <v>6</v>
      </c>
      <c r="AA14" s="440">
        <v>6</v>
      </c>
      <c r="AB14" s="440">
        <v>6</v>
      </c>
      <c r="AC14" s="440">
        <v>6</v>
      </c>
      <c r="AD14" s="441"/>
      <c r="AE14" s="441"/>
      <c r="AF14" s="440">
        <v>6</v>
      </c>
      <c r="AG14" s="440">
        <v>6</v>
      </c>
      <c r="AH14" s="440">
        <v>6</v>
      </c>
      <c r="AI14" s="440">
        <v>6</v>
      </c>
      <c r="AJ14" s="440">
        <v>6</v>
      </c>
      <c r="AK14" s="441"/>
      <c r="AL14" s="441"/>
      <c r="AM14" s="440">
        <v>6</v>
      </c>
      <c r="AN14" s="402">
        <f>SUM(Z14:AM14)</f>
        <v>60</v>
      </c>
    </row>
    <row r="15" spans="1:40" x14ac:dyDescent="0.25">
      <c r="A15" s="415">
        <v>5869098</v>
      </c>
      <c r="B15" s="442" t="s">
        <v>429</v>
      </c>
      <c r="C15" s="442" t="s">
        <v>430</v>
      </c>
      <c r="D15" s="443" t="s">
        <v>431</v>
      </c>
      <c r="E15" s="442" t="s">
        <v>414</v>
      </c>
      <c r="F15" s="418" t="s">
        <v>237</v>
      </c>
      <c r="G15" s="419" t="s">
        <v>214</v>
      </c>
      <c r="H15" s="444">
        <v>79058677</v>
      </c>
      <c r="I15" s="399"/>
      <c r="J15" s="399"/>
      <c r="K15" s="221">
        <v>6</v>
      </c>
      <c r="L15" s="221">
        <v>6</v>
      </c>
      <c r="M15" s="221">
        <v>6</v>
      </c>
      <c r="N15" s="399"/>
      <c r="O15" s="399"/>
      <c r="P15" s="399"/>
      <c r="Q15" s="399"/>
      <c r="R15" s="221">
        <v>6</v>
      </c>
      <c r="S15" s="221">
        <v>6</v>
      </c>
      <c r="T15" s="221">
        <v>6</v>
      </c>
      <c r="U15" s="221">
        <v>6</v>
      </c>
      <c r="V15" s="221">
        <v>6</v>
      </c>
      <c r="W15" s="400"/>
      <c r="X15" s="400"/>
      <c r="Y15" s="221">
        <v>6</v>
      </c>
      <c r="Z15" s="221">
        <v>6</v>
      </c>
      <c r="AA15" s="221">
        <v>6</v>
      </c>
      <c r="AB15" s="221">
        <v>6</v>
      </c>
      <c r="AC15" s="221">
        <v>6</v>
      </c>
      <c r="AD15" s="399"/>
      <c r="AE15" s="399"/>
      <c r="AF15" s="221">
        <v>6</v>
      </c>
      <c r="AG15" s="221">
        <v>6</v>
      </c>
      <c r="AH15" s="221">
        <v>6</v>
      </c>
      <c r="AI15" s="221">
        <v>6</v>
      </c>
      <c r="AJ15" s="221">
        <v>6</v>
      </c>
      <c r="AK15" s="399"/>
      <c r="AL15" s="408"/>
      <c r="AM15" s="402">
        <v>6</v>
      </c>
      <c r="AN15" s="402">
        <f>SUM(K15:AM15)</f>
        <v>114</v>
      </c>
    </row>
    <row r="16" spans="1:40" x14ac:dyDescent="0.25">
      <c r="A16" s="403">
        <v>5767845</v>
      </c>
      <c r="B16" s="445" t="s">
        <v>432</v>
      </c>
      <c r="C16" s="445" t="s">
        <v>72</v>
      </c>
      <c r="D16" s="446" t="s">
        <v>433</v>
      </c>
      <c r="E16" s="447" t="s">
        <v>401</v>
      </c>
      <c r="F16" s="448" t="s">
        <v>214</v>
      </c>
      <c r="G16" s="398">
        <v>0.3125</v>
      </c>
      <c r="H16" s="449">
        <v>72483593</v>
      </c>
      <c r="I16" s="399">
        <v>12</v>
      </c>
      <c r="J16" s="399"/>
      <c r="K16" s="221"/>
      <c r="L16" s="221">
        <v>12</v>
      </c>
      <c r="M16" s="221"/>
      <c r="N16" s="399"/>
      <c r="O16" s="399">
        <v>12</v>
      </c>
      <c r="P16" s="399"/>
      <c r="Q16" s="399"/>
      <c r="R16" s="221">
        <v>12</v>
      </c>
      <c r="S16" s="221"/>
      <c r="T16" s="221"/>
      <c r="U16" s="221">
        <v>12</v>
      </c>
      <c r="V16" s="221"/>
      <c r="W16" s="399"/>
      <c r="X16" s="399">
        <v>12</v>
      </c>
      <c r="Y16" s="221"/>
      <c r="Z16" s="221"/>
      <c r="AA16" s="221">
        <v>12</v>
      </c>
      <c r="AB16" s="221"/>
      <c r="AC16" s="221"/>
      <c r="AD16" s="399">
        <v>12</v>
      </c>
      <c r="AE16" s="399"/>
      <c r="AF16" s="221"/>
      <c r="AG16" s="221">
        <v>12</v>
      </c>
      <c r="AH16" s="221"/>
      <c r="AI16" s="221"/>
      <c r="AJ16" s="221">
        <v>12</v>
      </c>
      <c r="AK16" s="399"/>
      <c r="AL16" s="408"/>
      <c r="AM16" s="227">
        <v>12</v>
      </c>
      <c r="AN16" s="402">
        <f>SUM(I16:AM16)</f>
        <v>132</v>
      </c>
    </row>
    <row r="17" spans="1:40" x14ac:dyDescent="0.25">
      <c r="A17" s="377">
        <v>7723995</v>
      </c>
      <c r="B17" s="450" t="s">
        <v>434</v>
      </c>
      <c r="C17" s="450" t="s">
        <v>435</v>
      </c>
      <c r="D17" s="450" t="s">
        <v>436</v>
      </c>
      <c r="E17" s="395" t="s">
        <v>410</v>
      </c>
      <c r="F17" s="397" t="s">
        <v>214</v>
      </c>
      <c r="G17" s="451">
        <v>0.3125</v>
      </c>
      <c r="H17" s="452" t="s">
        <v>437</v>
      </c>
      <c r="I17" s="399">
        <v>12</v>
      </c>
      <c r="J17" s="399"/>
      <c r="K17" s="221"/>
      <c r="L17" s="221">
        <v>12</v>
      </c>
      <c r="M17" s="221"/>
      <c r="N17" s="399"/>
      <c r="O17" s="399">
        <v>12</v>
      </c>
      <c r="P17" s="453">
        <v>12</v>
      </c>
      <c r="Q17" s="399"/>
      <c r="R17" s="221">
        <v>12</v>
      </c>
      <c r="S17" s="221"/>
      <c r="T17" s="221"/>
      <c r="U17" s="221">
        <v>12</v>
      </c>
      <c r="V17" s="221"/>
      <c r="W17" s="399"/>
      <c r="X17" s="399">
        <v>12</v>
      </c>
      <c r="Y17" s="221"/>
      <c r="Z17" s="221"/>
      <c r="AA17" s="221">
        <v>12</v>
      </c>
      <c r="AB17" s="402"/>
      <c r="AC17" s="221"/>
      <c r="AD17" s="454"/>
      <c r="AE17" s="399"/>
      <c r="AF17" s="221"/>
      <c r="AG17" s="221">
        <v>12</v>
      </c>
      <c r="AH17" s="221"/>
      <c r="AI17" s="221"/>
      <c r="AJ17" s="221">
        <v>12</v>
      </c>
      <c r="AK17" s="399"/>
      <c r="AL17" s="441"/>
      <c r="AM17" s="227">
        <v>12</v>
      </c>
      <c r="AN17" s="402">
        <f t="shared" ref="AN17:AN28" si="1">SUM(I17:AM17)</f>
        <v>132</v>
      </c>
    </row>
    <row r="18" spans="1:40" x14ac:dyDescent="0.25">
      <c r="A18" s="455">
        <v>11339553</v>
      </c>
      <c r="B18" s="416" t="s">
        <v>438</v>
      </c>
      <c r="C18" s="416" t="s">
        <v>439</v>
      </c>
      <c r="D18" s="416" t="s">
        <v>440</v>
      </c>
      <c r="E18" s="416" t="s">
        <v>414</v>
      </c>
      <c r="F18" s="418" t="s">
        <v>441</v>
      </c>
      <c r="G18" s="419">
        <v>0.3125</v>
      </c>
      <c r="H18" s="456">
        <v>79001635</v>
      </c>
      <c r="I18" s="399">
        <v>11</v>
      </c>
      <c r="J18" s="399"/>
      <c r="K18" s="221"/>
      <c r="L18" s="221">
        <v>11</v>
      </c>
      <c r="M18" s="221"/>
      <c r="N18" s="399"/>
      <c r="O18" s="399">
        <v>11</v>
      </c>
      <c r="P18" s="399"/>
      <c r="Q18" s="399"/>
      <c r="R18" s="221">
        <v>11</v>
      </c>
      <c r="S18" s="221"/>
      <c r="T18" s="221"/>
      <c r="U18" s="221">
        <v>11</v>
      </c>
      <c r="V18" s="221"/>
      <c r="W18" s="399"/>
      <c r="X18" s="399">
        <v>11</v>
      </c>
      <c r="Y18" s="221"/>
      <c r="Z18" s="221"/>
      <c r="AA18" s="221">
        <v>11</v>
      </c>
      <c r="AB18" s="221"/>
      <c r="AC18" s="221"/>
      <c r="AD18" s="399">
        <v>11</v>
      </c>
      <c r="AE18" s="399"/>
      <c r="AF18" s="221"/>
      <c r="AG18" s="402">
        <v>11</v>
      </c>
      <c r="AH18" s="221"/>
      <c r="AI18" s="221"/>
      <c r="AJ18" s="221">
        <v>11</v>
      </c>
      <c r="AK18" s="399"/>
      <c r="AL18" s="441"/>
      <c r="AM18" s="227">
        <v>11</v>
      </c>
      <c r="AN18" s="402">
        <f t="shared" si="1"/>
        <v>121</v>
      </c>
    </row>
    <row r="19" spans="1:40" x14ac:dyDescent="0.25">
      <c r="A19" s="388">
        <v>6373618</v>
      </c>
      <c r="B19" s="417" t="s">
        <v>442</v>
      </c>
      <c r="C19" s="417" t="s">
        <v>216</v>
      </c>
      <c r="D19" s="417" t="s">
        <v>204</v>
      </c>
      <c r="E19" s="416" t="s">
        <v>414</v>
      </c>
      <c r="F19" s="418" t="s">
        <v>214</v>
      </c>
      <c r="G19" s="419">
        <v>0.27083333333333298</v>
      </c>
      <c r="H19" s="436" t="s">
        <v>443</v>
      </c>
      <c r="I19" s="399">
        <v>11</v>
      </c>
      <c r="J19" s="408"/>
      <c r="K19" s="227"/>
      <c r="L19" s="454"/>
      <c r="M19" s="227"/>
      <c r="N19" s="408"/>
      <c r="O19" s="399">
        <v>11</v>
      </c>
      <c r="P19" s="408"/>
      <c r="Q19" s="408"/>
      <c r="R19" s="221">
        <v>11</v>
      </c>
      <c r="S19" s="227"/>
      <c r="T19" s="227"/>
      <c r="U19" s="221">
        <v>11</v>
      </c>
      <c r="V19" s="227"/>
      <c r="W19" s="408"/>
      <c r="X19" s="399">
        <v>11</v>
      </c>
      <c r="Y19" s="227"/>
      <c r="Z19" s="227"/>
      <c r="AA19" s="221">
        <v>11</v>
      </c>
      <c r="AB19" s="227"/>
      <c r="AC19" s="227"/>
      <c r="AD19" s="399">
        <v>11</v>
      </c>
      <c r="AE19" s="408"/>
      <c r="AF19" s="227"/>
      <c r="AG19" s="221">
        <v>11</v>
      </c>
      <c r="AH19" s="227"/>
      <c r="AI19" s="227"/>
      <c r="AJ19" s="221">
        <v>11</v>
      </c>
      <c r="AK19" s="399"/>
      <c r="AL19" s="437">
        <v>11</v>
      </c>
      <c r="AM19" s="227">
        <v>11</v>
      </c>
      <c r="AN19" s="402">
        <f t="shared" si="1"/>
        <v>121</v>
      </c>
    </row>
    <row r="20" spans="1:40" x14ac:dyDescent="0.25">
      <c r="A20" s="457">
        <v>1085271</v>
      </c>
      <c r="B20" s="445" t="s">
        <v>444</v>
      </c>
      <c r="C20" s="445" t="s">
        <v>445</v>
      </c>
      <c r="D20" s="445" t="s">
        <v>446</v>
      </c>
      <c r="E20" s="447" t="s">
        <v>401</v>
      </c>
      <c r="F20" s="448" t="s">
        <v>214</v>
      </c>
      <c r="G20" s="398">
        <v>0.3125</v>
      </c>
      <c r="H20" s="458" t="s">
        <v>447</v>
      </c>
      <c r="I20" s="399"/>
      <c r="J20" s="399">
        <v>12</v>
      </c>
      <c r="K20" s="221"/>
      <c r="L20" s="221"/>
      <c r="M20" s="221">
        <v>12</v>
      </c>
      <c r="N20" s="399"/>
      <c r="O20" s="399"/>
      <c r="P20" s="399">
        <v>12</v>
      </c>
      <c r="Q20" s="399"/>
      <c r="R20" s="221"/>
      <c r="S20" s="221">
        <v>12</v>
      </c>
      <c r="T20" s="221"/>
      <c r="U20" s="221"/>
      <c r="V20" s="221">
        <v>12</v>
      </c>
      <c r="W20" s="399"/>
      <c r="X20" s="399"/>
      <c r="Y20" s="221">
        <v>12</v>
      </c>
      <c r="Z20" s="221"/>
      <c r="AA20" s="221"/>
      <c r="AB20" s="221">
        <v>12</v>
      </c>
      <c r="AC20" s="402"/>
      <c r="AD20" s="399"/>
      <c r="AE20" s="399">
        <v>12</v>
      </c>
      <c r="AF20" s="221"/>
      <c r="AG20" s="221"/>
      <c r="AH20" s="402">
        <v>12</v>
      </c>
      <c r="AI20" s="221"/>
      <c r="AJ20" s="221"/>
      <c r="AK20" s="399">
        <v>12</v>
      </c>
      <c r="AL20" s="441"/>
      <c r="AM20" s="227"/>
      <c r="AN20" s="402">
        <f t="shared" si="1"/>
        <v>120</v>
      </c>
    </row>
    <row r="21" spans="1:40" x14ac:dyDescent="0.25">
      <c r="A21" s="371">
        <v>7540698</v>
      </c>
      <c r="B21" s="404" t="s">
        <v>448</v>
      </c>
      <c r="C21" s="404" t="s">
        <v>449</v>
      </c>
      <c r="D21" s="404" t="s">
        <v>450</v>
      </c>
      <c r="E21" s="459" t="s">
        <v>410</v>
      </c>
      <c r="F21" s="397" t="s">
        <v>214</v>
      </c>
      <c r="G21" s="398">
        <v>0.3125</v>
      </c>
      <c r="H21" s="460">
        <v>69690031</v>
      </c>
      <c r="I21" s="399"/>
      <c r="J21" s="399">
        <v>12</v>
      </c>
      <c r="K21" s="221"/>
      <c r="L21" s="221"/>
      <c r="M21" s="221">
        <v>12</v>
      </c>
      <c r="N21" s="399"/>
      <c r="O21" s="399"/>
      <c r="P21" s="454"/>
      <c r="Q21" s="399"/>
      <c r="R21" s="221"/>
      <c r="S21" s="221">
        <v>12</v>
      </c>
      <c r="T21" s="221"/>
      <c r="U21" s="221"/>
      <c r="V21" s="221">
        <v>12</v>
      </c>
      <c r="W21" s="399"/>
      <c r="X21" s="399"/>
      <c r="Y21" s="221">
        <v>12</v>
      </c>
      <c r="Z21" s="221"/>
      <c r="AA21" s="221"/>
      <c r="AB21" s="221">
        <v>12</v>
      </c>
      <c r="AC21" s="221"/>
      <c r="AD21" s="453">
        <v>12</v>
      </c>
      <c r="AE21" s="399">
        <v>12</v>
      </c>
      <c r="AF21" s="221"/>
      <c r="AG21" s="221"/>
      <c r="AH21" s="221">
        <v>12</v>
      </c>
      <c r="AI21" s="221"/>
      <c r="AJ21" s="221"/>
      <c r="AK21" s="399">
        <v>12</v>
      </c>
      <c r="AL21" s="441"/>
      <c r="AM21" s="227"/>
      <c r="AN21" s="402">
        <f t="shared" si="1"/>
        <v>120</v>
      </c>
    </row>
    <row r="22" spans="1:40" x14ac:dyDescent="0.25">
      <c r="A22" s="415">
        <v>5841699</v>
      </c>
      <c r="B22" s="461" t="s">
        <v>67</v>
      </c>
      <c r="C22" s="461" t="s">
        <v>263</v>
      </c>
      <c r="D22" s="462" t="s">
        <v>451</v>
      </c>
      <c r="E22" s="461" t="s">
        <v>414</v>
      </c>
      <c r="F22" s="418" t="s">
        <v>214</v>
      </c>
      <c r="G22" s="419">
        <v>0.3125</v>
      </c>
      <c r="H22" s="463" t="s">
        <v>452</v>
      </c>
      <c r="I22" s="399"/>
      <c r="J22" s="399">
        <v>12</v>
      </c>
      <c r="K22" s="221"/>
      <c r="L22" s="221"/>
      <c r="M22" s="221">
        <v>12</v>
      </c>
      <c r="N22" s="399"/>
      <c r="O22" s="399"/>
      <c r="P22" s="399">
        <v>12</v>
      </c>
      <c r="Q22" s="399"/>
      <c r="R22" s="221"/>
      <c r="S22" s="221">
        <v>12</v>
      </c>
      <c r="T22" s="221"/>
      <c r="U22" s="221"/>
      <c r="V22" s="221">
        <v>12</v>
      </c>
      <c r="W22" s="399"/>
      <c r="X22" s="399"/>
      <c r="Y22" s="221">
        <v>12</v>
      </c>
      <c r="Z22" s="221"/>
      <c r="AA22" s="221"/>
      <c r="AB22" s="221">
        <v>12</v>
      </c>
      <c r="AC22" s="221"/>
      <c r="AD22" s="399"/>
      <c r="AE22" s="399">
        <v>12</v>
      </c>
      <c r="AF22" s="221"/>
      <c r="AG22" s="221"/>
      <c r="AH22" s="221">
        <v>12</v>
      </c>
      <c r="AI22" s="221"/>
      <c r="AJ22" s="221"/>
      <c r="AK22" s="399">
        <v>12</v>
      </c>
      <c r="AL22" s="441"/>
      <c r="AM22" s="227"/>
      <c r="AN22" s="402">
        <f t="shared" si="1"/>
        <v>120</v>
      </c>
    </row>
    <row r="23" spans="1:40" x14ac:dyDescent="0.25">
      <c r="A23" s="388">
        <v>5362642</v>
      </c>
      <c r="B23" s="443" t="s">
        <v>72</v>
      </c>
      <c r="C23" s="443" t="s">
        <v>453</v>
      </c>
      <c r="D23" s="443" t="s">
        <v>454</v>
      </c>
      <c r="E23" s="442" t="s">
        <v>414</v>
      </c>
      <c r="F23" s="418" t="s">
        <v>242</v>
      </c>
      <c r="G23" s="419">
        <v>0.3125</v>
      </c>
      <c r="H23" s="436">
        <v>76073863</v>
      </c>
      <c r="I23" s="399"/>
      <c r="J23" s="399">
        <v>12</v>
      </c>
      <c r="K23" s="221"/>
      <c r="L23" s="221"/>
      <c r="M23" s="221">
        <v>12</v>
      </c>
      <c r="N23" s="399"/>
      <c r="O23" s="400"/>
      <c r="P23" s="399">
        <v>12</v>
      </c>
      <c r="Q23" s="399"/>
      <c r="R23" s="221"/>
      <c r="S23" s="221">
        <v>12</v>
      </c>
      <c r="T23" s="221"/>
      <c r="U23" s="221"/>
      <c r="V23" s="221">
        <v>12</v>
      </c>
      <c r="W23" s="399"/>
      <c r="X23" s="399"/>
      <c r="Y23" s="221">
        <v>12</v>
      </c>
      <c r="Z23" s="221"/>
      <c r="AA23" s="221"/>
      <c r="AB23" s="221">
        <v>12</v>
      </c>
      <c r="AC23" s="221"/>
      <c r="AD23" s="399"/>
      <c r="AE23" s="399">
        <v>12</v>
      </c>
      <c r="AF23" s="221"/>
      <c r="AG23" s="221"/>
      <c r="AH23" s="221">
        <v>12</v>
      </c>
      <c r="AI23" s="221"/>
      <c r="AJ23" s="221"/>
      <c r="AK23" s="399">
        <v>12</v>
      </c>
      <c r="AL23" s="441"/>
      <c r="AM23" s="227"/>
      <c r="AN23" s="402">
        <f t="shared" si="1"/>
        <v>120</v>
      </c>
    </row>
    <row r="24" spans="1:40" ht="22.8" x14ac:dyDescent="0.25">
      <c r="A24" s="464">
        <v>6339939</v>
      </c>
      <c r="B24" s="465" t="s">
        <v>264</v>
      </c>
      <c r="C24" s="465" t="s">
        <v>455</v>
      </c>
      <c r="D24" s="465" t="s">
        <v>456</v>
      </c>
      <c r="E24" s="466" t="s">
        <v>410</v>
      </c>
      <c r="F24" s="448" t="s">
        <v>214</v>
      </c>
      <c r="G24" s="451">
        <v>0.3125</v>
      </c>
      <c r="H24" s="467" t="s">
        <v>457</v>
      </c>
      <c r="I24" s="399"/>
      <c r="J24" s="399"/>
      <c r="K24" s="221">
        <v>12</v>
      </c>
      <c r="L24" s="221"/>
      <c r="M24" s="221"/>
      <c r="N24" s="399">
        <v>12</v>
      </c>
      <c r="O24" s="399"/>
      <c r="P24" s="399"/>
      <c r="Q24" s="399">
        <v>12</v>
      </c>
      <c r="R24" s="221"/>
      <c r="S24" s="221"/>
      <c r="T24" s="221">
        <v>12</v>
      </c>
      <c r="U24" s="221"/>
      <c r="V24" s="221"/>
      <c r="W24" s="399">
        <v>12</v>
      </c>
      <c r="X24" s="399"/>
      <c r="Y24" s="221"/>
      <c r="Z24" s="221">
        <v>12</v>
      </c>
      <c r="AA24" s="221"/>
      <c r="AB24" s="221"/>
      <c r="AC24" s="221">
        <v>12</v>
      </c>
      <c r="AD24" s="399"/>
      <c r="AE24" s="399"/>
      <c r="AF24" s="221">
        <v>12</v>
      </c>
      <c r="AG24" s="221"/>
      <c r="AH24" s="221"/>
      <c r="AI24" s="221">
        <v>12</v>
      </c>
      <c r="AJ24" s="221"/>
      <c r="AK24" s="399"/>
      <c r="AL24" s="441">
        <v>12</v>
      </c>
      <c r="AM24" s="227"/>
      <c r="AN24" s="402">
        <f t="shared" si="1"/>
        <v>120</v>
      </c>
    </row>
    <row r="25" spans="1:40" x14ac:dyDescent="0.25">
      <c r="A25" s="381">
        <v>8925205</v>
      </c>
      <c r="B25" s="446" t="s">
        <v>458</v>
      </c>
      <c r="C25" s="446" t="s">
        <v>459</v>
      </c>
      <c r="D25" s="446" t="s">
        <v>460</v>
      </c>
      <c r="E25" s="446" t="s">
        <v>401</v>
      </c>
      <c r="F25" s="397" t="s">
        <v>214</v>
      </c>
      <c r="G25" s="398">
        <v>0.3125</v>
      </c>
      <c r="H25" s="468" t="s">
        <v>461</v>
      </c>
      <c r="I25" s="399"/>
      <c r="J25" s="399"/>
      <c r="K25" s="221">
        <v>12</v>
      </c>
      <c r="L25" s="221"/>
      <c r="M25" s="221"/>
      <c r="N25" s="399">
        <v>12</v>
      </c>
      <c r="O25" s="399"/>
      <c r="P25" s="399"/>
      <c r="Q25" s="399">
        <v>12</v>
      </c>
      <c r="R25" s="221"/>
      <c r="S25" s="221"/>
      <c r="T25" s="221">
        <v>12</v>
      </c>
      <c r="U25" s="221"/>
      <c r="V25" s="221"/>
      <c r="W25" s="399">
        <v>12</v>
      </c>
      <c r="X25" s="399"/>
      <c r="Y25" s="221"/>
      <c r="Z25" s="221">
        <v>12</v>
      </c>
      <c r="AA25" s="221"/>
      <c r="AB25" s="221"/>
      <c r="AC25" s="221">
        <v>12</v>
      </c>
      <c r="AD25" s="399"/>
      <c r="AE25" s="399"/>
      <c r="AF25" s="221">
        <v>12</v>
      </c>
      <c r="AG25" s="402"/>
      <c r="AH25" s="402"/>
      <c r="AI25" s="402">
        <v>12</v>
      </c>
      <c r="AJ25" s="221"/>
      <c r="AK25" s="399"/>
      <c r="AL25" s="441">
        <v>12</v>
      </c>
      <c r="AM25" s="227"/>
      <c r="AN25" s="402">
        <f t="shared" si="1"/>
        <v>120</v>
      </c>
    </row>
    <row r="26" spans="1:40" x14ac:dyDescent="0.25">
      <c r="A26" s="415">
        <v>4567873</v>
      </c>
      <c r="B26" s="416" t="s">
        <v>462</v>
      </c>
      <c r="C26" s="416" t="s">
        <v>55</v>
      </c>
      <c r="D26" s="417" t="s">
        <v>463</v>
      </c>
      <c r="E26" s="416" t="s">
        <v>414</v>
      </c>
      <c r="F26" s="418" t="s">
        <v>214</v>
      </c>
      <c r="G26" s="418">
        <v>0.3125</v>
      </c>
      <c r="H26" s="436" t="s">
        <v>464</v>
      </c>
      <c r="I26" s="399"/>
      <c r="J26" s="399"/>
      <c r="K26" s="221">
        <v>12</v>
      </c>
      <c r="L26" s="453">
        <v>12</v>
      </c>
      <c r="M26" s="221"/>
      <c r="N26" s="399">
        <v>12</v>
      </c>
      <c r="O26" s="399"/>
      <c r="P26" s="399"/>
      <c r="Q26" s="399">
        <v>12</v>
      </c>
      <c r="R26" s="221"/>
      <c r="S26" s="221"/>
      <c r="T26" s="221">
        <v>12</v>
      </c>
      <c r="U26" s="221"/>
      <c r="V26" s="221"/>
      <c r="W26" s="399">
        <v>12</v>
      </c>
      <c r="X26" s="399"/>
      <c r="Y26" s="221"/>
      <c r="Z26" s="221">
        <v>12</v>
      </c>
      <c r="AA26" s="221"/>
      <c r="AB26" s="221"/>
      <c r="AC26" s="221">
        <v>12</v>
      </c>
      <c r="AD26" s="399"/>
      <c r="AE26" s="399"/>
      <c r="AF26" s="221">
        <v>12</v>
      </c>
      <c r="AG26" s="221"/>
      <c r="AH26" s="221"/>
      <c r="AI26" s="221">
        <v>12</v>
      </c>
      <c r="AJ26" s="221"/>
      <c r="AK26" s="399"/>
      <c r="AL26" s="469"/>
      <c r="AM26" s="470"/>
      <c r="AN26" s="402">
        <f t="shared" si="1"/>
        <v>120</v>
      </c>
    </row>
    <row r="27" spans="1:40" x14ac:dyDescent="0.25">
      <c r="A27" s="386">
        <v>9207207</v>
      </c>
      <c r="B27" s="417" t="s">
        <v>115</v>
      </c>
      <c r="C27" s="417" t="s">
        <v>465</v>
      </c>
      <c r="D27" s="417" t="s">
        <v>466</v>
      </c>
      <c r="E27" s="417" t="s">
        <v>414</v>
      </c>
      <c r="F27" s="418" t="s">
        <v>214</v>
      </c>
      <c r="G27" s="419">
        <v>0.3125</v>
      </c>
      <c r="H27" s="436" t="s">
        <v>467</v>
      </c>
      <c r="I27" s="399"/>
      <c r="J27" s="399"/>
      <c r="K27" s="221">
        <v>12</v>
      </c>
      <c r="L27" s="221"/>
      <c r="M27" s="221"/>
      <c r="N27" s="399">
        <v>12</v>
      </c>
      <c r="O27" s="399"/>
      <c r="P27" s="399"/>
      <c r="Q27" s="399">
        <v>12</v>
      </c>
      <c r="R27" s="221"/>
      <c r="S27" s="221"/>
      <c r="T27" s="221">
        <v>12</v>
      </c>
      <c r="U27" s="221"/>
      <c r="V27" s="221"/>
      <c r="W27" s="399">
        <v>12</v>
      </c>
      <c r="X27" s="399"/>
      <c r="Y27" s="221"/>
      <c r="Z27" s="221">
        <v>12</v>
      </c>
      <c r="AA27" s="221"/>
      <c r="AB27" s="221"/>
      <c r="AC27" s="221">
        <v>12</v>
      </c>
      <c r="AD27" s="399"/>
      <c r="AE27" s="399"/>
      <c r="AF27" s="221">
        <v>12</v>
      </c>
      <c r="AG27" s="221"/>
      <c r="AH27" s="221"/>
      <c r="AI27" s="221">
        <v>12</v>
      </c>
      <c r="AJ27" s="221"/>
      <c r="AK27" s="399"/>
      <c r="AL27" s="441">
        <v>12</v>
      </c>
      <c r="AM27" s="227"/>
      <c r="AN27" s="402">
        <f t="shared" si="1"/>
        <v>120</v>
      </c>
    </row>
    <row r="28" spans="1:40" x14ac:dyDescent="0.25">
      <c r="A28" s="371">
        <v>8249224</v>
      </c>
      <c r="B28" s="395" t="s">
        <v>468</v>
      </c>
      <c r="C28" s="395" t="s">
        <v>469</v>
      </c>
      <c r="D28" s="395" t="s">
        <v>470</v>
      </c>
      <c r="E28" s="396" t="s">
        <v>401</v>
      </c>
      <c r="F28" s="397">
        <v>0.3125</v>
      </c>
      <c r="G28" s="398" t="s">
        <v>209</v>
      </c>
      <c r="H28" s="395">
        <v>73616416</v>
      </c>
      <c r="I28" s="400">
        <v>12</v>
      </c>
      <c r="J28" s="400">
        <v>12</v>
      </c>
      <c r="K28" s="402"/>
      <c r="L28" s="402"/>
      <c r="M28" s="402"/>
      <c r="N28" s="400">
        <v>12</v>
      </c>
      <c r="O28" s="400">
        <v>12</v>
      </c>
      <c r="P28" s="400">
        <v>12</v>
      </c>
      <c r="Q28" s="400">
        <v>12</v>
      </c>
      <c r="R28" s="402"/>
      <c r="S28" s="402"/>
      <c r="T28" s="402"/>
      <c r="U28" s="402"/>
      <c r="V28" s="402"/>
      <c r="W28" s="400">
        <v>12</v>
      </c>
      <c r="X28" s="400">
        <v>12</v>
      </c>
      <c r="Y28" s="402"/>
      <c r="Z28" s="402"/>
      <c r="AA28" s="402"/>
      <c r="AB28" s="402"/>
      <c r="AC28" s="402"/>
      <c r="AD28" s="400">
        <v>12</v>
      </c>
      <c r="AE28" s="400">
        <v>12</v>
      </c>
      <c r="AF28" s="402"/>
      <c r="AG28" s="402"/>
      <c r="AH28" s="402"/>
      <c r="AI28" s="402"/>
      <c r="AJ28" s="402"/>
      <c r="AK28" s="399">
        <v>12</v>
      </c>
      <c r="AL28" s="441">
        <v>12</v>
      </c>
      <c r="AM28" s="227"/>
      <c r="AN28" s="402">
        <f t="shared" si="1"/>
        <v>144</v>
      </c>
    </row>
    <row r="29" spans="1:40" x14ac:dyDescent="0.25">
      <c r="A29" s="381">
        <v>7669617</v>
      </c>
      <c r="B29" s="446" t="s">
        <v>471</v>
      </c>
      <c r="C29" s="446" t="s">
        <v>248</v>
      </c>
      <c r="D29" s="446" t="s">
        <v>472</v>
      </c>
      <c r="E29" s="471" t="s">
        <v>401</v>
      </c>
      <c r="F29" s="397">
        <v>0.3125</v>
      </c>
      <c r="G29" s="398" t="s">
        <v>214</v>
      </c>
      <c r="H29" s="446">
        <v>68828070</v>
      </c>
      <c r="I29" s="399">
        <v>12</v>
      </c>
      <c r="J29" s="399">
        <v>12</v>
      </c>
      <c r="K29" s="221"/>
      <c r="L29" s="221"/>
      <c r="M29" s="221"/>
      <c r="N29" s="399">
        <v>12</v>
      </c>
      <c r="O29" s="399">
        <v>12</v>
      </c>
      <c r="P29" s="399">
        <v>12</v>
      </c>
      <c r="Q29" s="399">
        <v>12</v>
      </c>
      <c r="R29" s="221"/>
      <c r="S29" s="221"/>
      <c r="T29" s="221"/>
      <c r="U29" s="221"/>
      <c r="V29" s="402"/>
      <c r="W29" s="400">
        <v>12</v>
      </c>
      <c r="X29" s="400">
        <v>12</v>
      </c>
      <c r="Y29" s="402"/>
      <c r="Z29" s="221"/>
      <c r="AA29" s="221"/>
      <c r="AB29" s="221"/>
      <c r="AC29" s="402"/>
      <c r="AD29" s="400">
        <v>12</v>
      </c>
      <c r="AE29" s="399">
        <v>12</v>
      </c>
      <c r="AF29" s="221"/>
      <c r="AG29" s="221"/>
      <c r="AH29" s="221"/>
      <c r="AI29" s="221"/>
      <c r="AJ29" s="221"/>
      <c r="AK29" s="399">
        <v>12</v>
      </c>
      <c r="AL29" s="441">
        <v>12</v>
      </c>
      <c r="AM29" s="227"/>
      <c r="AN29" s="402">
        <f>SUM(I29:AM29)</f>
        <v>144</v>
      </c>
    </row>
    <row r="30" spans="1:40" x14ac:dyDescent="0.25">
      <c r="A30" s="387">
        <v>6371131</v>
      </c>
      <c r="B30" s="472" t="s">
        <v>458</v>
      </c>
      <c r="C30" s="472" t="s">
        <v>56</v>
      </c>
      <c r="D30" s="472" t="s">
        <v>473</v>
      </c>
      <c r="E30" s="473" t="s">
        <v>414</v>
      </c>
      <c r="F30" s="435">
        <v>0.3125</v>
      </c>
      <c r="G30" s="435" t="s">
        <v>209</v>
      </c>
      <c r="H30" s="474" t="s">
        <v>452</v>
      </c>
      <c r="I30" s="400">
        <v>12</v>
      </c>
      <c r="J30" s="400">
        <v>12</v>
      </c>
      <c r="K30" s="402"/>
      <c r="L30" s="402"/>
      <c r="M30" s="402"/>
      <c r="N30" s="400">
        <v>12</v>
      </c>
      <c r="O30" s="400">
        <v>12</v>
      </c>
      <c r="P30" s="400">
        <v>12</v>
      </c>
      <c r="Q30" s="400">
        <v>12</v>
      </c>
      <c r="R30" s="402"/>
      <c r="S30" s="402"/>
      <c r="T30" s="402"/>
      <c r="U30" s="402"/>
      <c r="V30" s="402"/>
      <c r="W30" s="400">
        <v>12</v>
      </c>
      <c r="X30" s="400">
        <v>12</v>
      </c>
      <c r="Y30" s="402"/>
      <c r="Z30" s="402"/>
      <c r="AA30" s="402"/>
      <c r="AB30" s="402"/>
      <c r="AC30" s="402"/>
      <c r="AD30" s="400">
        <v>12</v>
      </c>
      <c r="AE30" s="400">
        <v>12</v>
      </c>
      <c r="AF30" s="402"/>
      <c r="AG30" s="402"/>
      <c r="AH30" s="402"/>
      <c r="AI30" s="402"/>
      <c r="AJ30" s="402"/>
      <c r="AK30" s="399">
        <v>12</v>
      </c>
      <c r="AL30" s="441">
        <v>12</v>
      </c>
      <c r="AM30" s="227"/>
      <c r="AN30" s="402">
        <f>SUM(I30:AM30)</f>
        <v>144</v>
      </c>
    </row>
    <row r="31" spans="1:40" x14ac:dyDescent="0.25">
      <c r="A31" s="415">
        <v>6303789</v>
      </c>
      <c r="B31" s="417" t="s">
        <v>474</v>
      </c>
      <c r="C31" s="417" t="s">
        <v>475</v>
      </c>
      <c r="D31" s="434" t="s">
        <v>476</v>
      </c>
      <c r="E31" s="416" t="s">
        <v>414</v>
      </c>
      <c r="F31" s="418">
        <v>0.3125</v>
      </c>
      <c r="G31" s="418" t="s">
        <v>214</v>
      </c>
      <c r="H31" s="436">
        <v>67344092</v>
      </c>
      <c r="I31" s="399">
        <v>12</v>
      </c>
      <c r="J31" s="399">
        <v>12</v>
      </c>
      <c r="K31" s="221"/>
      <c r="L31" s="221"/>
      <c r="M31" s="221"/>
      <c r="N31" s="399">
        <v>12</v>
      </c>
      <c r="O31" s="399">
        <v>12</v>
      </c>
      <c r="P31" s="399">
        <v>12</v>
      </c>
      <c r="Q31" s="399">
        <v>12</v>
      </c>
      <c r="R31" s="221"/>
      <c r="S31" s="221"/>
      <c r="T31" s="221"/>
      <c r="U31" s="221"/>
      <c r="V31" s="402"/>
      <c r="W31" s="400">
        <v>12</v>
      </c>
      <c r="X31" s="400">
        <v>12</v>
      </c>
      <c r="Y31" s="402"/>
      <c r="Z31" s="221"/>
      <c r="AA31" s="221"/>
      <c r="AB31" s="221"/>
      <c r="AC31" s="402"/>
      <c r="AD31" s="400">
        <v>12</v>
      </c>
      <c r="AE31" s="399">
        <v>12</v>
      </c>
      <c r="AF31" s="221"/>
      <c r="AG31" s="221"/>
      <c r="AH31" s="221"/>
      <c r="AI31" s="221"/>
      <c r="AJ31" s="221"/>
      <c r="AK31" s="399">
        <v>12</v>
      </c>
      <c r="AL31" s="441">
        <v>12</v>
      </c>
      <c r="AM31" s="227"/>
      <c r="AN31" s="402">
        <f>SUM(I31:AM31)</f>
        <v>144</v>
      </c>
    </row>
    <row r="32" spans="1:40" ht="12.6" thickBot="1" x14ac:dyDescent="0.3"/>
    <row r="33" spans="2:30" ht="12.6" thickBot="1" x14ac:dyDescent="0.3">
      <c r="B33" s="475" t="s">
        <v>477</v>
      </c>
      <c r="C33" s="476"/>
      <c r="D33" s="477" t="s">
        <v>478</v>
      </c>
      <c r="E33" s="477"/>
      <c r="F33" s="477"/>
      <c r="G33" s="478"/>
      <c r="H33" s="478"/>
      <c r="I33" s="478"/>
      <c r="J33" s="478"/>
      <c r="K33" s="478"/>
      <c r="L33" s="478"/>
      <c r="M33" s="478"/>
      <c r="N33" s="478"/>
      <c r="O33" s="478"/>
      <c r="P33" s="478"/>
      <c r="Q33" s="478"/>
      <c r="R33" s="478"/>
      <c r="S33" s="478"/>
      <c r="T33" s="478"/>
      <c r="U33" s="478"/>
      <c r="V33" s="478"/>
      <c r="W33" s="478"/>
      <c r="X33" s="478"/>
      <c r="Y33" s="478"/>
      <c r="Z33" s="478"/>
      <c r="AA33" s="478"/>
      <c r="AB33" s="478"/>
      <c r="AC33" s="478"/>
      <c r="AD33" s="478"/>
    </row>
    <row r="34" spans="2:30" x14ac:dyDescent="0.25">
      <c r="B34" s="479" t="s">
        <v>479</v>
      </c>
      <c r="C34" s="480"/>
      <c r="D34" s="231"/>
      <c r="E34" s="231"/>
      <c r="F34" s="231"/>
    </row>
    <row r="35" spans="2:30" ht="12.6" thickBot="1" x14ac:dyDescent="0.3">
      <c r="B35" s="481" t="s">
        <v>480</v>
      </c>
      <c r="C35" s="482"/>
      <c r="D35" s="231"/>
      <c r="E35" s="231"/>
    </row>
    <row r="36" spans="2:30" x14ac:dyDescent="0.25">
      <c r="B36" s="483" t="s">
        <v>481</v>
      </c>
      <c r="C36" s="484"/>
      <c r="D36" s="231" t="s">
        <v>482</v>
      </c>
      <c r="E36" s="231"/>
    </row>
    <row r="37" spans="2:30" ht="12.6" thickBot="1" x14ac:dyDescent="0.3">
      <c r="B37" s="485" t="s">
        <v>483</v>
      </c>
      <c r="C37" s="486"/>
      <c r="D37" s="231" t="s">
        <v>484</v>
      </c>
      <c r="E37" s="231"/>
    </row>
  </sheetData>
  <mergeCells count="2">
    <mergeCell ref="A1:H1"/>
    <mergeCell ref="G2:A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1"/>
  <sheetViews>
    <sheetView workbookViewId="0">
      <selection activeCell="E31" sqref="E31"/>
    </sheetView>
  </sheetViews>
  <sheetFormatPr baseColWidth="10" defaultRowHeight="14.4" x14ac:dyDescent="0.3"/>
  <cols>
    <col min="5" max="5" width="12.44140625" customWidth="1"/>
    <col min="9" max="10" width="3.33203125" bestFit="1" customWidth="1"/>
    <col min="11" max="11" width="2.33203125" bestFit="1" customWidth="1"/>
    <col min="12" max="13" width="2.88671875" bestFit="1" customWidth="1"/>
    <col min="14" max="17" width="3.33203125" bestFit="1" customWidth="1"/>
    <col min="18" max="22" width="3" bestFit="1" customWidth="1"/>
    <col min="23" max="24" width="3.33203125" bestFit="1" customWidth="1"/>
    <col min="25" max="29" width="3" bestFit="1" customWidth="1"/>
    <col min="30" max="31" width="3.33203125" bestFit="1" customWidth="1"/>
    <col min="32" max="36" width="3" bestFit="1" customWidth="1"/>
    <col min="37" max="38" width="3.33203125" bestFit="1" customWidth="1"/>
    <col min="39" max="39" width="2.6640625" bestFit="1" customWidth="1"/>
    <col min="40" max="40" width="12.109375" customWidth="1"/>
  </cols>
  <sheetData>
    <row r="1" spans="1:41" s="530" customFormat="1" ht="18" x14ac:dyDescent="0.35">
      <c r="A1" s="1107" t="s">
        <v>193</v>
      </c>
      <c r="B1" s="1108"/>
      <c r="C1" s="1108"/>
      <c r="D1" s="1108"/>
      <c r="E1" s="1108"/>
      <c r="F1" s="1108"/>
      <c r="G1" s="1108"/>
      <c r="H1" s="1108"/>
      <c r="I1" s="1108"/>
      <c r="J1" s="1108"/>
      <c r="K1" s="1108"/>
      <c r="L1" s="1108"/>
      <c r="M1" s="1108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  <c r="AA1" s="1108"/>
      <c r="AB1" s="1108"/>
      <c r="AC1" s="1108"/>
      <c r="AD1" s="1108"/>
      <c r="AE1" s="1108"/>
      <c r="AF1" s="1108"/>
      <c r="AG1" s="1108"/>
      <c r="AH1" s="1108"/>
      <c r="AI1" s="1108"/>
      <c r="AJ1" s="1108"/>
      <c r="AK1" s="1108"/>
      <c r="AL1" s="1108"/>
      <c r="AM1" s="1108"/>
      <c r="AN1" s="1108"/>
    </row>
    <row r="2" spans="1:41" s="530" customFormat="1" ht="18" x14ac:dyDescent="0.35">
      <c r="A2" s="1109" t="s">
        <v>485</v>
      </c>
      <c r="B2" s="1110"/>
      <c r="C2" s="1110"/>
      <c r="D2" s="1110"/>
      <c r="E2" s="1110"/>
      <c r="F2" s="1110"/>
      <c r="G2" s="1110"/>
      <c r="H2" s="1110"/>
      <c r="I2" s="1110"/>
      <c r="J2" s="1110"/>
      <c r="K2" s="1110"/>
      <c r="L2" s="1110"/>
      <c r="M2" s="1110"/>
      <c r="N2" s="1110"/>
      <c r="O2" s="1110"/>
      <c r="P2" s="1110"/>
      <c r="Q2" s="1110"/>
      <c r="R2" s="1110"/>
      <c r="S2" s="1110"/>
      <c r="T2" s="1110"/>
      <c r="U2" s="1110"/>
      <c r="V2" s="1110"/>
      <c r="W2" s="1110"/>
      <c r="X2" s="1110"/>
      <c r="Y2" s="1110"/>
      <c r="Z2" s="1110"/>
      <c r="AA2" s="1110"/>
      <c r="AB2" s="1110"/>
      <c r="AC2" s="1110"/>
      <c r="AD2" s="1110"/>
      <c r="AE2" s="1110"/>
      <c r="AF2" s="1110"/>
      <c r="AG2" s="1110"/>
      <c r="AH2" s="1110"/>
      <c r="AI2" s="1110"/>
      <c r="AJ2" s="1110"/>
      <c r="AK2" s="1110"/>
      <c r="AL2" s="1110"/>
      <c r="AM2" s="1110"/>
      <c r="AN2" s="1110"/>
    </row>
    <row r="3" spans="1:41" s="530" customFormat="1" ht="18.600000000000001" thickBot="1" x14ac:dyDescent="0.4">
      <c r="A3" s="1112" t="s">
        <v>486</v>
      </c>
      <c r="B3" s="1113"/>
      <c r="C3" s="1113"/>
      <c r="D3" s="1113"/>
      <c r="E3" s="1113"/>
      <c r="F3" s="1113"/>
      <c r="G3" s="1113"/>
      <c r="H3" s="1113"/>
      <c r="I3" s="1113"/>
      <c r="J3" s="1113"/>
      <c r="K3" s="1113"/>
      <c r="L3" s="1113"/>
      <c r="M3" s="1113"/>
      <c r="N3" s="1113"/>
      <c r="O3" s="1113"/>
      <c r="P3" s="1113"/>
      <c r="Q3" s="1113"/>
      <c r="R3" s="1113"/>
      <c r="S3" s="1113"/>
      <c r="T3" s="1113"/>
      <c r="U3" s="1113"/>
      <c r="V3" s="1113"/>
      <c r="W3" s="1113"/>
      <c r="X3" s="1113"/>
      <c r="Y3" s="1113"/>
      <c r="Z3" s="1113"/>
      <c r="AA3" s="1113"/>
      <c r="AB3" s="1113"/>
      <c r="AC3" s="1113"/>
      <c r="AD3" s="1113"/>
      <c r="AE3" s="1113"/>
      <c r="AF3" s="1113"/>
      <c r="AG3" s="1113"/>
      <c r="AH3" s="1113"/>
      <c r="AI3" s="1113"/>
      <c r="AJ3" s="1113"/>
      <c r="AK3" s="1113"/>
      <c r="AL3" s="1113"/>
      <c r="AM3" s="1113"/>
      <c r="AN3" s="1113"/>
    </row>
    <row r="4" spans="1:41" ht="21.6" thickBot="1" x14ac:dyDescent="0.35">
      <c r="A4" s="1094" t="s">
        <v>2</v>
      </c>
      <c r="B4" s="1095"/>
      <c r="C4" s="1095"/>
      <c r="D4" s="1095"/>
      <c r="E4" s="1095"/>
      <c r="F4" s="1095"/>
      <c r="G4" s="1095"/>
      <c r="H4" s="1096"/>
      <c r="I4" s="1091" t="s">
        <v>487</v>
      </c>
      <c r="J4" s="1092"/>
      <c r="K4" s="1092"/>
      <c r="L4" s="1092"/>
      <c r="M4" s="1092"/>
      <c r="N4" s="1092"/>
      <c r="O4" s="1092"/>
      <c r="P4" s="1092"/>
      <c r="Q4" s="1092"/>
      <c r="R4" s="1092"/>
      <c r="S4" s="1092"/>
      <c r="T4" s="1092"/>
      <c r="U4" s="1092"/>
      <c r="V4" s="1092"/>
      <c r="W4" s="1092"/>
      <c r="X4" s="1092"/>
      <c r="Y4" s="1092"/>
      <c r="Z4" s="1092"/>
      <c r="AA4" s="1092"/>
      <c r="AB4" s="1092"/>
      <c r="AC4" s="1092"/>
      <c r="AD4" s="1092"/>
      <c r="AE4" s="1092"/>
      <c r="AF4" s="1092"/>
      <c r="AG4" s="1092"/>
      <c r="AH4" s="1092"/>
      <c r="AI4" s="1092"/>
      <c r="AJ4" s="1092"/>
      <c r="AK4" s="1092"/>
      <c r="AL4" s="1092"/>
      <c r="AM4" s="1093"/>
      <c r="AN4" s="1097" t="s">
        <v>488</v>
      </c>
      <c r="AO4" s="65"/>
    </row>
    <row r="5" spans="1:41" ht="18" thickBot="1" x14ac:dyDescent="0.35">
      <c r="A5" s="1100" t="s">
        <v>489</v>
      </c>
      <c r="B5" s="1101"/>
      <c r="C5" s="1101"/>
      <c r="D5" s="1102"/>
      <c r="E5" s="1103" t="s">
        <v>10</v>
      </c>
      <c r="F5" s="1103" t="s">
        <v>490</v>
      </c>
      <c r="G5" s="1105" t="s">
        <v>11</v>
      </c>
      <c r="H5" s="1106"/>
      <c r="I5" s="95">
        <v>1</v>
      </c>
      <c r="J5" s="96">
        <v>2</v>
      </c>
      <c r="K5" s="96">
        <v>3</v>
      </c>
      <c r="L5" s="96">
        <v>4</v>
      </c>
      <c r="M5" s="96">
        <v>5</v>
      </c>
      <c r="N5" s="96">
        <v>6</v>
      </c>
      <c r="O5" s="96">
        <v>7</v>
      </c>
      <c r="P5" s="96">
        <v>8</v>
      </c>
      <c r="Q5" s="96">
        <v>9</v>
      </c>
      <c r="R5" s="96">
        <v>10</v>
      </c>
      <c r="S5" s="96">
        <v>11</v>
      </c>
      <c r="T5" s="96">
        <v>12</v>
      </c>
      <c r="U5" s="96">
        <v>13</v>
      </c>
      <c r="V5" s="96">
        <v>14</v>
      </c>
      <c r="W5" s="96">
        <v>15</v>
      </c>
      <c r="X5" s="96">
        <v>16</v>
      </c>
      <c r="Y5" s="96">
        <v>17</v>
      </c>
      <c r="Z5" s="96">
        <v>18</v>
      </c>
      <c r="AA5" s="96">
        <v>19</v>
      </c>
      <c r="AB5" s="96">
        <v>20</v>
      </c>
      <c r="AC5" s="96">
        <v>21</v>
      </c>
      <c r="AD5" s="96">
        <v>22</v>
      </c>
      <c r="AE5" s="96">
        <v>23</v>
      </c>
      <c r="AF5" s="96">
        <v>24</v>
      </c>
      <c r="AG5" s="96">
        <v>25</v>
      </c>
      <c r="AH5" s="96">
        <v>26</v>
      </c>
      <c r="AI5" s="96">
        <v>27</v>
      </c>
      <c r="AJ5" s="96">
        <v>28</v>
      </c>
      <c r="AK5" s="67">
        <v>29</v>
      </c>
      <c r="AL5" s="67">
        <v>30</v>
      </c>
      <c r="AM5" s="68">
        <v>31</v>
      </c>
      <c r="AN5" s="1098"/>
      <c r="AO5" s="65"/>
    </row>
    <row r="6" spans="1:41" s="4" customFormat="1" ht="42" thickBot="1" x14ac:dyDescent="0.35">
      <c r="A6" s="525" t="s">
        <v>7</v>
      </c>
      <c r="B6" s="526" t="s">
        <v>8</v>
      </c>
      <c r="C6" s="525" t="s">
        <v>491</v>
      </c>
      <c r="D6" s="526" t="s">
        <v>492</v>
      </c>
      <c r="E6" s="1104"/>
      <c r="F6" s="1104"/>
      <c r="G6" s="525" t="s">
        <v>199</v>
      </c>
      <c r="H6" s="525" t="s">
        <v>493</v>
      </c>
      <c r="I6" s="527" t="s">
        <v>16</v>
      </c>
      <c r="J6" s="528" t="s">
        <v>17</v>
      </c>
      <c r="K6" s="528" t="s">
        <v>18</v>
      </c>
      <c r="L6" s="528" t="s">
        <v>19</v>
      </c>
      <c r="M6" s="528" t="s">
        <v>19</v>
      </c>
      <c r="N6" s="528" t="s">
        <v>20</v>
      </c>
      <c r="O6" s="528" t="s">
        <v>21</v>
      </c>
      <c r="P6" s="528" t="s">
        <v>16</v>
      </c>
      <c r="Q6" s="528" t="s">
        <v>17</v>
      </c>
      <c r="R6" s="528" t="s">
        <v>18</v>
      </c>
      <c r="S6" s="528" t="s">
        <v>19</v>
      </c>
      <c r="T6" s="528" t="s">
        <v>19</v>
      </c>
      <c r="U6" s="528" t="s">
        <v>20</v>
      </c>
      <c r="V6" s="528" t="s">
        <v>21</v>
      </c>
      <c r="W6" s="528" t="s">
        <v>16</v>
      </c>
      <c r="X6" s="528" t="s">
        <v>17</v>
      </c>
      <c r="Y6" s="528" t="s">
        <v>18</v>
      </c>
      <c r="Z6" s="528" t="s">
        <v>19</v>
      </c>
      <c r="AA6" s="528" t="s">
        <v>19</v>
      </c>
      <c r="AB6" s="528" t="s">
        <v>20</v>
      </c>
      <c r="AC6" s="528" t="s">
        <v>21</v>
      </c>
      <c r="AD6" s="528" t="s">
        <v>16</v>
      </c>
      <c r="AE6" s="528" t="s">
        <v>17</v>
      </c>
      <c r="AF6" s="528" t="s">
        <v>18</v>
      </c>
      <c r="AG6" s="528" t="s">
        <v>19</v>
      </c>
      <c r="AH6" s="528" t="s">
        <v>19</v>
      </c>
      <c r="AI6" s="528" t="s">
        <v>20</v>
      </c>
      <c r="AJ6" s="529" t="s">
        <v>21</v>
      </c>
      <c r="AK6" s="528" t="s">
        <v>16</v>
      </c>
      <c r="AL6" s="528" t="s">
        <v>17</v>
      </c>
      <c r="AM6" s="529" t="s">
        <v>18</v>
      </c>
      <c r="AN6" s="1099"/>
    </row>
    <row r="7" spans="1:41" s="503" customFormat="1" ht="31.2" thickBot="1" x14ac:dyDescent="0.25">
      <c r="A7" s="489" t="s">
        <v>494</v>
      </c>
      <c r="B7" s="490" t="s">
        <v>329</v>
      </c>
      <c r="C7" s="491" t="s">
        <v>495</v>
      </c>
      <c r="D7" s="492" t="s">
        <v>496</v>
      </c>
      <c r="E7" s="94" t="s">
        <v>497</v>
      </c>
      <c r="F7" s="493">
        <v>75457471</v>
      </c>
      <c r="G7" s="494">
        <v>0.3125</v>
      </c>
      <c r="H7" s="495" t="s">
        <v>498</v>
      </c>
      <c r="I7" s="496"/>
      <c r="J7" s="496"/>
      <c r="K7" s="497">
        <v>6</v>
      </c>
      <c r="L7" s="497">
        <v>6</v>
      </c>
      <c r="M7" s="497">
        <v>6</v>
      </c>
      <c r="N7" s="498" t="s">
        <v>142</v>
      </c>
      <c r="O7" s="498" t="s">
        <v>142</v>
      </c>
      <c r="P7" s="496"/>
      <c r="Q7" s="496"/>
      <c r="R7" s="499">
        <v>6</v>
      </c>
      <c r="S7" s="499">
        <v>6</v>
      </c>
      <c r="T7" s="499">
        <v>6</v>
      </c>
      <c r="U7" s="499">
        <v>6</v>
      </c>
      <c r="V7" s="499">
        <v>6</v>
      </c>
      <c r="W7" s="496"/>
      <c r="X7" s="500">
        <v>12</v>
      </c>
      <c r="Y7" s="499">
        <v>6</v>
      </c>
      <c r="Z7" s="499">
        <v>6</v>
      </c>
      <c r="AA7" s="499">
        <v>6</v>
      </c>
      <c r="AB7" s="499">
        <v>6</v>
      </c>
      <c r="AC7" s="499">
        <v>6</v>
      </c>
      <c r="AD7" s="496"/>
      <c r="AE7" s="496"/>
      <c r="AF7" s="499">
        <v>6</v>
      </c>
      <c r="AG7" s="499">
        <v>6</v>
      </c>
      <c r="AH7" s="499">
        <v>6</v>
      </c>
      <c r="AI7" s="501" t="s">
        <v>18</v>
      </c>
      <c r="AJ7" s="501" t="s">
        <v>18</v>
      </c>
      <c r="AK7" s="496"/>
      <c r="AL7" s="496"/>
      <c r="AM7" s="499">
        <v>6</v>
      </c>
      <c r="AN7" s="502">
        <v>114</v>
      </c>
    </row>
    <row r="8" spans="1:41" s="503" customFormat="1" ht="21" thickBot="1" x14ac:dyDescent="0.25">
      <c r="A8" s="504" t="s">
        <v>210</v>
      </c>
      <c r="B8" s="505" t="s">
        <v>499</v>
      </c>
      <c r="C8" s="506" t="s">
        <v>500</v>
      </c>
      <c r="D8" s="507" t="s">
        <v>501</v>
      </c>
      <c r="E8" s="75" t="s">
        <v>502</v>
      </c>
      <c r="F8" s="493">
        <v>78006369</v>
      </c>
      <c r="G8" s="494">
        <v>0.3125</v>
      </c>
      <c r="H8" s="495" t="s">
        <v>498</v>
      </c>
      <c r="I8" s="496"/>
      <c r="J8" s="496"/>
      <c r="K8" s="497">
        <v>6</v>
      </c>
      <c r="L8" s="497">
        <v>6</v>
      </c>
      <c r="M8" s="497">
        <v>6</v>
      </c>
      <c r="N8" s="498" t="s">
        <v>142</v>
      </c>
      <c r="O8" s="498" t="s">
        <v>142</v>
      </c>
      <c r="P8" s="496"/>
      <c r="Q8" s="496"/>
      <c r="R8" s="499">
        <v>6</v>
      </c>
      <c r="S8" s="499">
        <v>6</v>
      </c>
      <c r="T8" s="499">
        <v>6</v>
      </c>
      <c r="U8" s="499">
        <v>6</v>
      </c>
      <c r="V8" s="499">
        <v>6</v>
      </c>
      <c r="W8" s="496"/>
      <c r="X8" s="496"/>
      <c r="Y8" s="499">
        <v>6</v>
      </c>
      <c r="Z8" s="499">
        <v>6</v>
      </c>
      <c r="AA8" s="499">
        <v>6</v>
      </c>
      <c r="AB8" s="499">
        <v>6</v>
      </c>
      <c r="AC8" s="499">
        <v>6</v>
      </c>
      <c r="AD8" s="496"/>
      <c r="AE8" s="496"/>
      <c r="AF8" s="499">
        <v>6</v>
      </c>
      <c r="AG8" s="499">
        <v>6</v>
      </c>
      <c r="AH8" s="499">
        <v>6</v>
      </c>
      <c r="AI8" s="499">
        <v>6</v>
      </c>
      <c r="AJ8" s="499">
        <v>6</v>
      </c>
      <c r="AK8" s="496"/>
      <c r="AL8" s="496"/>
      <c r="AM8" s="499">
        <v>6</v>
      </c>
      <c r="AN8" s="502">
        <v>114</v>
      </c>
    </row>
    <row r="9" spans="1:41" s="503" customFormat="1" ht="21" thickBot="1" x14ac:dyDescent="0.25">
      <c r="A9" s="508" t="s">
        <v>503</v>
      </c>
      <c r="B9" s="509" t="s">
        <v>504</v>
      </c>
      <c r="C9" s="510" t="s">
        <v>505</v>
      </c>
      <c r="D9" s="511" t="s">
        <v>506</v>
      </c>
      <c r="E9" s="104" t="s">
        <v>502</v>
      </c>
      <c r="F9" s="512">
        <v>73687079</v>
      </c>
      <c r="G9" s="494">
        <v>0.3125</v>
      </c>
      <c r="H9" s="495" t="s">
        <v>498</v>
      </c>
      <c r="I9" s="496"/>
      <c r="J9" s="496"/>
      <c r="K9" s="497">
        <v>6</v>
      </c>
      <c r="L9" s="497">
        <v>6</v>
      </c>
      <c r="M9" s="497">
        <v>6</v>
      </c>
      <c r="N9" s="498" t="s">
        <v>142</v>
      </c>
      <c r="O9" s="498" t="s">
        <v>142</v>
      </c>
      <c r="P9" s="496"/>
      <c r="Q9" s="496"/>
      <c r="R9" s="513" t="s">
        <v>507</v>
      </c>
      <c r="S9" s="499">
        <v>6</v>
      </c>
      <c r="T9" s="499">
        <v>6</v>
      </c>
      <c r="U9" s="499">
        <v>6</v>
      </c>
      <c r="V9" s="499">
        <v>6</v>
      </c>
      <c r="W9" s="496"/>
      <c r="X9" s="496"/>
      <c r="Y9" s="499">
        <v>6</v>
      </c>
      <c r="Z9" s="499">
        <v>6</v>
      </c>
      <c r="AA9" s="499">
        <v>6</v>
      </c>
      <c r="AB9" s="499">
        <v>6</v>
      </c>
      <c r="AC9" s="499">
        <v>6</v>
      </c>
      <c r="AD9" s="496"/>
      <c r="AE9" s="496"/>
      <c r="AF9" s="499">
        <v>6</v>
      </c>
      <c r="AG9" s="499">
        <v>6</v>
      </c>
      <c r="AH9" s="499">
        <v>6</v>
      </c>
      <c r="AI9" s="499">
        <v>6</v>
      </c>
      <c r="AJ9" s="499">
        <v>6</v>
      </c>
      <c r="AK9" s="496"/>
      <c r="AL9" s="496"/>
      <c r="AM9" s="499">
        <v>6</v>
      </c>
      <c r="AN9" s="502">
        <v>114</v>
      </c>
    </row>
    <row r="10" spans="1:41" s="503" customFormat="1" ht="21" thickBot="1" x14ac:dyDescent="0.25">
      <c r="A10" s="514" t="s">
        <v>305</v>
      </c>
      <c r="B10" s="515" t="s">
        <v>363</v>
      </c>
      <c r="C10" s="516" t="s">
        <v>508</v>
      </c>
      <c r="D10" s="517" t="s">
        <v>509</v>
      </c>
      <c r="E10" s="94" t="s">
        <v>510</v>
      </c>
      <c r="F10" s="518">
        <v>7290513</v>
      </c>
      <c r="G10" s="494">
        <v>0.29166666666666669</v>
      </c>
      <c r="H10" s="495" t="s">
        <v>511</v>
      </c>
      <c r="I10" s="496"/>
      <c r="J10" s="496"/>
      <c r="K10" s="497">
        <v>6</v>
      </c>
      <c r="L10" s="497">
        <v>6</v>
      </c>
      <c r="M10" s="497">
        <v>6</v>
      </c>
      <c r="N10" s="498" t="s">
        <v>142</v>
      </c>
      <c r="O10" s="498" t="s">
        <v>142</v>
      </c>
      <c r="P10" s="496"/>
      <c r="Q10" s="496"/>
      <c r="R10" s="499">
        <v>6</v>
      </c>
      <c r="S10" s="499">
        <v>6</v>
      </c>
      <c r="T10" s="499">
        <v>6</v>
      </c>
      <c r="U10" s="499">
        <v>6</v>
      </c>
      <c r="V10" s="499">
        <v>6</v>
      </c>
      <c r="W10" s="496"/>
      <c r="X10" s="496"/>
      <c r="Y10" s="499">
        <v>6</v>
      </c>
      <c r="Z10" s="499">
        <v>6</v>
      </c>
      <c r="AA10" s="499">
        <v>6</v>
      </c>
      <c r="AB10" s="499">
        <v>6</v>
      </c>
      <c r="AC10" s="499">
        <v>6</v>
      </c>
      <c r="AD10" s="496"/>
      <c r="AE10" s="496"/>
      <c r="AF10" s="499">
        <v>6</v>
      </c>
      <c r="AG10" s="499">
        <v>6</v>
      </c>
      <c r="AH10" s="499">
        <v>6</v>
      </c>
      <c r="AI10" s="499">
        <v>6</v>
      </c>
      <c r="AJ10" s="499">
        <v>6</v>
      </c>
      <c r="AK10" s="496"/>
      <c r="AL10" s="496"/>
      <c r="AM10" s="499">
        <v>6</v>
      </c>
      <c r="AN10" s="502">
        <v>114</v>
      </c>
    </row>
    <row r="11" spans="1:41" s="503" customFormat="1" ht="21" thickBot="1" x14ac:dyDescent="0.25">
      <c r="A11" s="519" t="s">
        <v>432</v>
      </c>
      <c r="B11" s="520" t="s">
        <v>56</v>
      </c>
      <c r="C11" s="521" t="s">
        <v>512</v>
      </c>
      <c r="D11" s="522" t="s">
        <v>513</v>
      </c>
      <c r="E11" s="70" t="s">
        <v>502</v>
      </c>
      <c r="F11" s="493">
        <v>73815292</v>
      </c>
      <c r="G11" s="523">
        <v>0.3125</v>
      </c>
      <c r="H11" s="495" t="s">
        <v>498</v>
      </c>
      <c r="I11" s="496"/>
      <c r="J11" s="496"/>
      <c r="K11" s="524" t="s">
        <v>21</v>
      </c>
      <c r="L11" s="524" t="s">
        <v>21</v>
      </c>
      <c r="M11" s="524" t="s">
        <v>21</v>
      </c>
      <c r="N11" s="498" t="s">
        <v>142</v>
      </c>
      <c r="O11" s="498" t="s">
        <v>142</v>
      </c>
      <c r="P11" s="496"/>
      <c r="Q11" s="496"/>
      <c r="R11" s="524" t="s">
        <v>21</v>
      </c>
      <c r="S11" s="524" t="s">
        <v>21</v>
      </c>
      <c r="T11" s="524" t="s">
        <v>21</v>
      </c>
      <c r="U11" s="524" t="s">
        <v>21</v>
      </c>
      <c r="V11" s="524" t="s">
        <v>21</v>
      </c>
      <c r="W11" s="496"/>
      <c r="X11" s="496"/>
      <c r="Y11" s="499">
        <v>6</v>
      </c>
      <c r="Z11" s="499">
        <v>6</v>
      </c>
      <c r="AA11" s="499">
        <v>6</v>
      </c>
      <c r="AB11" s="499">
        <v>6</v>
      </c>
      <c r="AC11" s="499">
        <v>6</v>
      </c>
      <c r="AD11" s="496"/>
      <c r="AE11" s="496"/>
      <c r="AF11" s="499">
        <v>6</v>
      </c>
      <c r="AG11" s="499">
        <v>6</v>
      </c>
      <c r="AH11" s="499">
        <v>6</v>
      </c>
      <c r="AI11" s="497">
        <v>6</v>
      </c>
      <c r="AJ11" s="499">
        <v>6</v>
      </c>
      <c r="AK11" s="496"/>
      <c r="AL11" s="496"/>
      <c r="AM11" s="499">
        <v>6</v>
      </c>
      <c r="AN11" s="502">
        <v>66</v>
      </c>
    </row>
    <row r="12" spans="1:41" ht="21.6" thickBot="1" x14ac:dyDescent="0.35">
      <c r="A12" s="1085" t="s">
        <v>2</v>
      </c>
      <c r="B12" s="1086"/>
      <c r="C12" s="1086"/>
      <c r="D12" s="1086"/>
      <c r="E12" s="1086"/>
      <c r="F12" s="1086"/>
      <c r="G12" s="1086"/>
      <c r="H12" s="1087"/>
      <c r="I12" s="1095" t="s">
        <v>514</v>
      </c>
      <c r="J12" s="1111"/>
      <c r="K12" s="1111"/>
      <c r="L12" s="1111"/>
      <c r="M12" s="1111"/>
      <c r="N12" s="1111"/>
      <c r="O12" s="1111"/>
      <c r="P12" s="1111"/>
      <c r="Q12" s="1111"/>
      <c r="R12" s="1111"/>
      <c r="S12" s="1111"/>
      <c r="T12" s="1111"/>
      <c r="U12" s="1111"/>
      <c r="V12" s="1111"/>
      <c r="W12" s="1111"/>
      <c r="X12" s="1111"/>
      <c r="Y12" s="1111"/>
      <c r="Z12" s="1111"/>
      <c r="AA12" s="1111"/>
      <c r="AB12" s="1111"/>
      <c r="AC12" s="1111"/>
      <c r="AD12" s="1111"/>
      <c r="AE12" s="1111"/>
      <c r="AF12" s="1111"/>
      <c r="AG12" s="1111"/>
      <c r="AH12" s="1111"/>
      <c r="AI12" s="1111"/>
      <c r="AJ12" s="1111"/>
      <c r="AK12" s="1111"/>
      <c r="AL12" s="1111"/>
      <c r="AM12" s="1111"/>
      <c r="AN12" s="103"/>
      <c r="AO12" s="66"/>
    </row>
    <row r="13" spans="1:41" s="503" customFormat="1" ht="21" thickBot="1" x14ac:dyDescent="0.25">
      <c r="A13" s="519" t="s">
        <v>363</v>
      </c>
      <c r="B13" s="520" t="s">
        <v>74</v>
      </c>
      <c r="C13" s="521" t="s">
        <v>515</v>
      </c>
      <c r="D13" s="522" t="s">
        <v>516</v>
      </c>
      <c r="E13" s="69" t="s">
        <v>510</v>
      </c>
      <c r="F13" s="531">
        <v>75613726</v>
      </c>
      <c r="G13" s="532" t="s">
        <v>498</v>
      </c>
      <c r="H13" s="533" t="s">
        <v>517</v>
      </c>
      <c r="I13" s="496"/>
      <c r="J13" s="496"/>
      <c r="K13" s="513">
        <v>6</v>
      </c>
      <c r="L13" s="513">
        <v>6</v>
      </c>
      <c r="M13" s="513">
        <v>6</v>
      </c>
      <c r="N13" s="498" t="s">
        <v>142</v>
      </c>
      <c r="O13" s="498" t="s">
        <v>142</v>
      </c>
      <c r="P13" s="496"/>
      <c r="Q13" s="496"/>
      <c r="R13" s="513">
        <v>6</v>
      </c>
      <c r="S13" s="513">
        <v>6</v>
      </c>
      <c r="T13" s="513">
        <v>6</v>
      </c>
      <c r="U13" s="513">
        <v>6</v>
      </c>
      <c r="V13" s="513">
        <v>6</v>
      </c>
      <c r="W13" s="496"/>
      <c r="X13" s="496"/>
      <c r="Y13" s="513">
        <v>6</v>
      </c>
      <c r="Z13" s="513">
        <v>6</v>
      </c>
      <c r="AA13" s="513">
        <v>6</v>
      </c>
      <c r="AB13" s="513">
        <v>6</v>
      </c>
      <c r="AC13" s="513">
        <v>6</v>
      </c>
      <c r="AD13" s="496"/>
      <c r="AE13" s="496"/>
      <c r="AF13" s="513">
        <v>6</v>
      </c>
      <c r="AG13" s="513">
        <v>6</v>
      </c>
      <c r="AH13" s="513">
        <v>6</v>
      </c>
      <c r="AI13" s="513">
        <v>6</v>
      </c>
      <c r="AJ13" s="513">
        <v>6</v>
      </c>
      <c r="AK13" s="496"/>
      <c r="AL13" s="496"/>
      <c r="AM13" s="513">
        <v>6</v>
      </c>
      <c r="AN13" s="534">
        <v>114</v>
      </c>
    </row>
    <row r="14" spans="1:41" s="503" customFormat="1" ht="21" thickBot="1" x14ac:dyDescent="0.25">
      <c r="A14" s="519" t="s">
        <v>518</v>
      </c>
      <c r="B14" s="520" t="s">
        <v>519</v>
      </c>
      <c r="C14" s="535" t="s">
        <v>520</v>
      </c>
      <c r="D14" s="522" t="s">
        <v>521</v>
      </c>
      <c r="E14" s="70" t="s">
        <v>510</v>
      </c>
      <c r="F14" s="493">
        <v>67882004</v>
      </c>
      <c r="G14" s="536" t="s">
        <v>498</v>
      </c>
      <c r="H14" s="537" t="s">
        <v>517</v>
      </c>
      <c r="I14" s="496"/>
      <c r="J14" s="496"/>
      <c r="K14" s="513">
        <v>6</v>
      </c>
      <c r="L14" s="513">
        <v>6</v>
      </c>
      <c r="M14" s="513">
        <v>6</v>
      </c>
      <c r="N14" s="498" t="s">
        <v>142</v>
      </c>
      <c r="O14" s="498" t="s">
        <v>142</v>
      </c>
      <c r="P14" s="496"/>
      <c r="Q14" s="496"/>
      <c r="R14" s="499" t="s">
        <v>19</v>
      </c>
      <c r="S14" s="513">
        <v>6</v>
      </c>
      <c r="T14" s="513">
        <v>6</v>
      </c>
      <c r="U14" s="513">
        <v>6</v>
      </c>
      <c r="V14" s="513">
        <v>6</v>
      </c>
      <c r="W14" s="496"/>
      <c r="X14" s="496"/>
      <c r="Y14" s="513">
        <v>6</v>
      </c>
      <c r="Z14" s="513">
        <v>6</v>
      </c>
      <c r="AA14" s="513">
        <v>6</v>
      </c>
      <c r="AB14" s="513">
        <v>6</v>
      </c>
      <c r="AC14" s="513">
        <v>6</v>
      </c>
      <c r="AD14" s="496"/>
      <c r="AE14" s="496"/>
      <c r="AF14" s="513">
        <v>6</v>
      </c>
      <c r="AG14" s="513">
        <v>6</v>
      </c>
      <c r="AH14" s="513">
        <v>6</v>
      </c>
      <c r="AI14" s="513">
        <v>6</v>
      </c>
      <c r="AJ14" s="513">
        <v>6</v>
      </c>
      <c r="AK14" s="496"/>
      <c r="AL14" s="496"/>
      <c r="AM14" s="513">
        <v>6</v>
      </c>
      <c r="AN14" s="534">
        <v>114</v>
      </c>
    </row>
    <row r="15" spans="1:41" s="503" customFormat="1" ht="21" thickBot="1" x14ac:dyDescent="0.25">
      <c r="A15" s="519" t="s">
        <v>299</v>
      </c>
      <c r="B15" s="520" t="s">
        <v>522</v>
      </c>
      <c r="C15" s="521" t="s">
        <v>523</v>
      </c>
      <c r="D15" s="522" t="s">
        <v>524</v>
      </c>
      <c r="E15" s="70" t="s">
        <v>510</v>
      </c>
      <c r="F15" s="493">
        <v>73746299</v>
      </c>
      <c r="G15" s="538" t="s">
        <v>498</v>
      </c>
      <c r="H15" s="495" t="s">
        <v>517</v>
      </c>
      <c r="I15" s="496"/>
      <c r="J15" s="496"/>
      <c r="K15" s="513">
        <v>6</v>
      </c>
      <c r="L15" s="513">
        <v>6</v>
      </c>
      <c r="M15" s="513">
        <v>6</v>
      </c>
      <c r="N15" s="498" t="s">
        <v>142</v>
      </c>
      <c r="O15" s="498" t="s">
        <v>142</v>
      </c>
      <c r="P15" s="496"/>
      <c r="Q15" s="496"/>
      <c r="R15" s="513">
        <v>6</v>
      </c>
      <c r="S15" s="513">
        <v>6</v>
      </c>
      <c r="T15" s="513">
        <v>6</v>
      </c>
      <c r="U15" s="513">
        <v>6</v>
      </c>
      <c r="V15" s="513">
        <v>6</v>
      </c>
      <c r="W15" s="496"/>
      <c r="X15" s="496"/>
      <c r="Y15" s="513">
        <v>6</v>
      </c>
      <c r="Z15" s="513">
        <v>6</v>
      </c>
      <c r="AA15" s="513">
        <v>6</v>
      </c>
      <c r="AB15" s="513">
        <v>6</v>
      </c>
      <c r="AC15" s="513">
        <v>6</v>
      </c>
      <c r="AD15" s="496"/>
      <c r="AE15" s="496"/>
      <c r="AF15" s="513">
        <v>6</v>
      </c>
      <c r="AG15" s="513">
        <v>6</v>
      </c>
      <c r="AH15" s="513">
        <v>6</v>
      </c>
      <c r="AI15" s="513">
        <v>6</v>
      </c>
      <c r="AJ15" s="513">
        <v>6</v>
      </c>
      <c r="AK15" s="496"/>
      <c r="AL15" s="496"/>
      <c r="AM15" s="513">
        <v>6</v>
      </c>
      <c r="AN15" s="534">
        <v>114</v>
      </c>
    </row>
    <row r="16" spans="1:41" s="503" customFormat="1" ht="21" thickBot="1" x14ac:dyDescent="0.25">
      <c r="A16" s="539" t="s">
        <v>525</v>
      </c>
      <c r="B16" s="540" t="s">
        <v>526</v>
      </c>
      <c r="C16" s="541" t="s">
        <v>527</v>
      </c>
      <c r="D16" s="542" t="s">
        <v>528</v>
      </c>
      <c r="E16" s="70" t="s">
        <v>510</v>
      </c>
      <c r="F16" s="493">
        <v>60830103</v>
      </c>
      <c r="G16" s="538" t="s">
        <v>498</v>
      </c>
      <c r="H16" s="495" t="s">
        <v>517</v>
      </c>
      <c r="I16" s="496"/>
      <c r="J16" s="496"/>
      <c r="K16" s="513">
        <v>6</v>
      </c>
      <c r="L16" s="513">
        <v>6</v>
      </c>
      <c r="M16" s="513">
        <v>6</v>
      </c>
      <c r="N16" s="498" t="s">
        <v>142</v>
      </c>
      <c r="O16" s="498" t="s">
        <v>142</v>
      </c>
      <c r="P16" s="496"/>
      <c r="Q16" s="496"/>
      <c r="R16" s="513">
        <v>6</v>
      </c>
      <c r="S16" s="513">
        <v>6</v>
      </c>
      <c r="T16" s="513">
        <v>6</v>
      </c>
      <c r="U16" s="513">
        <v>6</v>
      </c>
      <c r="V16" s="513">
        <v>6</v>
      </c>
      <c r="W16" s="496"/>
      <c r="X16" s="496"/>
      <c r="Y16" s="513">
        <v>6</v>
      </c>
      <c r="Z16" s="513">
        <v>6</v>
      </c>
      <c r="AA16" s="513">
        <v>6</v>
      </c>
      <c r="AB16" s="513">
        <v>6</v>
      </c>
      <c r="AC16" s="513">
        <v>6</v>
      </c>
      <c r="AD16" s="496"/>
      <c r="AE16" s="496"/>
      <c r="AF16" s="513">
        <v>6</v>
      </c>
      <c r="AG16" s="513">
        <v>6</v>
      </c>
      <c r="AH16" s="513">
        <v>6</v>
      </c>
      <c r="AI16" s="513">
        <v>6</v>
      </c>
      <c r="AJ16" s="513">
        <v>6</v>
      </c>
      <c r="AK16" s="496"/>
      <c r="AL16" s="496"/>
      <c r="AM16" s="513">
        <v>6</v>
      </c>
      <c r="AN16" s="534">
        <v>114</v>
      </c>
    </row>
    <row r="17" spans="1:41" s="503" customFormat="1" ht="21" thickBot="1" x14ac:dyDescent="0.25">
      <c r="A17" s="543" t="s">
        <v>529</v>
      </c>
      <c r="B17" s="544" t="s">
        <v>530</v>
      </c>
      <c r="C17" s="545" t="s">
        <v>531</v>
      </c>
      <c r="D17" s="546" t="s">
        <v>532</v>
      </c>
      <c r="E17" s="104" t="s">
        <v>533</v>
      </c>
      <c r="F17" s="547">
        <v>71355477</v>
      </c>
      <c r="G17" s="548" t="s">
        <v>498</v>
      </c>
      <c r="H17" s="549" t="s">
        <v>517</v>
      </c>
      <c r="I17" s="496"/>
      <c r="J17" s="496"/>
      <c r="K17" s="513">
        <v>6</v>
      </c>
      <c r="L17" s="513">
        <v>6</v>
      </c>
      <c r="M17" s="513">
        <v>6</v>
      </c>
      <c r="N17" s="498" t="s">
        <v>142</v>
      </c>
      <c r="O17" s="498" t="s">
        <v>142</v>
      </c>
      <c r="P17" s="496"/>
      <c r="Q17" s="496"/>
      <c r="R17" s="524" t="s">
        <v>21</v>
      </c>
      <c r="S17" s="524" t="s">
        <v>21</v>
      </c>
      <c r="T17" s="524" t="s">
        <v>21</v>
      </c>
      <c r="U17" s="524" t="s">
        <v>21</v>
      </c>
      <c r="V17" s="524" t="s">
        <v>21</v>
      </c>
      <c r="W17" s="496"/>
      <c r="X17" s="496"/>
      <c r="Y17" s="524" t="s">
        <v>21</v>
      </c>
      <c r="Z17" s="524" t="s">
        <v>21</v>
      </c>
      <c r="AA17" s="524" t="s">
        <v>21</v>
      </c>
      <c r="AB17" s="524" t="s">
        <v>21</v>
      </c>
      <c r="AC17" s="524" t="s">
        <v>21</v>
      </c>
      <c r="AD17" s="496"/>
      <c r="AE17" s="496"/>
      <c r="AF17" s="513">
        <v>6</v>
      </c>
      <c r="AG17" s="513">
        <v>6</v>
      </c>
      <c r="AH17" s="513">
        <v>6</v>
      </c>
      <c r="AI17" s="513">
        <v>6</v>
      </c>
      <c r="AJ17" s="513">
        <v>6</v>
      </c>
      <c r="AK17" s="496"/>
      <c r="AL17" s="496"/>
      <c r="AM17" s="513">
        <v>6</v>
      </c>
      <c r="AN17" s="550">
        <v>54</v>
      </c>
    </row>
    <row r="18" spans="1:41" s="503" customFormat="1" ht="10.8" thickBot="1" x14ac:dyDescent="0.25">
      <c r="A18" s="1088" t="s">
        <v>2</v>
      </c>
      <c r="B18" s="1089"/>
      <c r="C18" s="1089"/>
      <c r="D18" s="1089"/>
      <c r="E18" s="1089"/>
      <c r="F18" s="1089"/>
      <c r="G18" s="1089"/>
      <c r="H18" s="1090"/>
      <c r="I18" s="1114" t="s">
        <v>534</v>
      </c>
      <c r="J18" s="1114"/>
      <c r="K18" s="1114"/>
      <c r="L18" s="1114"/>
      <c r="M18" s="1114"/>
      <c r="N18" s="1114"/>
      <c r="O18" s="1114"/>
      <c r="P18" s="1114"/>
      <c r="Q18" s="1114"/>
      <c r="R18" s="1114"/>
      <c r="S18" s="1114"/>
      <c r="T18" s="1114"/>
      <c r="U18" s="1114"/>
      <c r="V18" s="1114"/>
      <c r="W18" s="1114"/>
      <c r="X18" s="1114"/>
      <c r="Y18" s="1114"/>
      <c r="Z18" s="1114"/>
      <c r="AA18" s="1114"/>
      <c r="AB18" s="1114"/>
      <c r="AC18" s="1114"/>
      <c r="AD18" s="1114"/>
      <c r="AE18" s="1114"/>
      <c r="AF18" s="1114"/>
      <c r="AG18" s="1114"/>
      <c r="AH18" s="1114"/>
      <c r="AI18" s="1114"/>
      <c r="AJ18" s="1114"/>
      <c r="AK18" s="1114"/>
      <c r="AL18" s="1114"/>
      <c r="AM18" s="1114"/>
      <c r="AN18" s="551"/>
      <c r="AO18" s="552"/>
    </row>
    <row r="19" spans="1:41" s="503" customFormat="1" ht="21" thickBot="1" x14ac:dyDescent="0.25">
      <c r="A19" s="514" t="s">
        <v>535</v>
      </c>
      <c r="B19" s="515" t="s">
        <v>536</v>
      </c>
      <c r="C19" s="553" t="s">
        <v>537</v>
      </c>
      <c r="D19" s="517" t="s">
        <v>538</v>
      </c>
      <c r="E19" s="94" t="s">
        <v>539</v>
      </c>
      <c r="F19" s="518">
        <v>67872699</v>
      </c>
      <c r="G19" s="554">
        <v>0.3125</v>
      </c>
      <c r="H19" s="533" t="s">
        <v>517</v>
      </c>
      <c r="I19" s="555">
        <v>12</v>
      </c>
      <c r="J19" s="555">
        <v>12</v>
      </c>
      <c r="K19" s="556"/>
      <c r="L19" s="556"/>
      <c r="M19" s="556"/>
      <c r="N19" s="500">
        <v>12</v>
      </c>
      <c r="O19" s="500">
        <v>12</v>
      </c>
      <c r="P19" s="500">
        <v>12</v>
      </c>
      <c r="Q19" s="500">
        <v>12</v>
      </c>
      <c r="R19" s="557"/>
      <c r="S19" s="556"/>
      <c r="T19" s="556"/>
      <c r="U19" s="556"/>
      <c r="V19" s="558"/>
      <c r="W19" s="500">
        <v>12</v>
      </c>
      <c r="X19" s="559" t="s">
        <v>18</v>
      </c>
      <c r="Y19" s="558"/>
      <c r="Z19" s="556"/>
      <c r="AA19" s="556"/>
      <c r="AB19" s="556"/>
      <c r="AC19" s="558"/>
      <c r="AD19" s="500">
        <v>12</v>
      </c>
      <c r="AE19" s="500">
        <v>12</v>
      </c>
      <c r="AF19" s="560"/>
      <c r="AG19" s="561"/>
      <c r="AH19" s="561"/>
      <c r="AI19" s="499">
        <v>6</v>
      </c>
      <c r="AJ19" s="499">
        <v>6</v>
      </c>
      <c r="AK19" s="500">
        <v>12</v>
      </c>
      <c r="AL19" s="500">
        <v>12</v>
      </c>
      <c r="AM19" s="562"/>
      <c r="AN19" s="563">
        <v>144</v>
      </c>
    </row>
    <row r="20" spans="1:41" s="503" customFormat="1" ht="21" thickBot="1" x14ac:dyDescent="0.25">
      <c r="A20" s="504" t="s">
        <v>540</v>
      </c>
      <c r="B20" s="564" t="s">
        <v>541</v>
      </c>
      <c r="C20" s="521" t="s">
        <v>542</v>
      </c>
      <c r="D20" s="507" t="s">
        <v>543</v>
      </c>
      <c r="E20" s="70" t="s">
        <v>510</v>
      </c>
      <c r="F20" s="493">
        <v>69168320</v>
      </c>
      <c r="G20" s="494">
        <v>0.3125</v>
      </c>
      <c r="H20" s="495" t="s">
        <v>517</v>
      </c>
      <c r="I20" s="555">
        <v>12</v>
      </c>
      <c r="J20" s="555">
        <v>12</v>
      </c>
      <c r="K20" s="556"/>
      <c r="L20" s="556"/>
      <c r="M20" s="556"/>
      <c r="N20" s="565">
        <v>12</v>
      </c>
      <c r="O20" s="565">
        <v>12</v>
      </c>
      <c r="P20" s="565">
        <v>12</v>
      </c>
      <c r="Q20" s="565">
        <v>12</v>
      </c>
      <c r="R20" s="566"/>
      <c r="S20" s="556"/>
      <c r="T20" s="556"/>
      <c r="U20" s="557"/>
      <c r="V20" s="566"/>
      <c r="W20" s="500">
        <v>12</v>
      </c>
      <c r="X20" s="500">
        <v>12</v>
      </c>
      <c r="Y20" s="567"/>
      <c r="Z20" s="556"/>
      <c r="AA20" s="556"/>
      <c r="AB20" s="566"/>
      <c r="AC20" s="567"/>
      <c r="AD20" s="500">
        <v>12</v>
      </c>
      <c r="AE20" s="500">
        <v>12</v>
      </c>
      <c r="AF20" s="557"/>
      <c r="AG20" s="561"/>
      <c r="AH20" s="561"/>
      <c r="AI20" s="562"/>
      <c r="AJ20" s="568"/>
      <c r="AK20" s="500">
        <v>12</v>
      </c>
      <c r="AL20" s="500">
        <v>12</v>
      </c>
      <c r="AM20" s="569"/>
      <c r="AN20" s="563">
        <v>144</v>
      </c>
    </row>
    <row r="21" spans="1:41" s="503" customFormat="1" ht="21" thickBot="1" x14ac:dyDescent="0.25">
      <c r="A21" s="543" t="s">
        <v>469</v>
      </c>
      <c r="B21" s="570" t="s">
        <v>544</v>
      </c>
      <c r="C21" s="571" t="s">
        <v>545</v>
      </c>
      <c r="D21" s="511" t="s">
        <v>546</v>
      </c>
      <c r="E21" s="105" t="s">
        <v>547</v>
      </c>
      <c r="F21" s="547">
        <v>63484136</v>
      </c>
      <c r="G21" s="572">
        <v>0.3125</v>
      </c>
      <c r="H21" s="549" t="s">
        <v>517</v>
      </c>
      <c r="I21" s="555">
        <v>12</v>
      </c>
      <c r="J21" s="555">
        <v>12</v>
      </c>
      <c r="K21" s="556"/>
      <c r="L21" s="556"/>
      <c r="M21" s="556"/>
      <c r="N21" s="573">
        <v>12</v>
      </c>
      <c r="O21" s="573">
        <v>12</v>
      </c>
      <c r="P21" s="573">
        <v>12</v>
      </c>
      <c r="Q21" s="573">
        <v>12</v>
      </c>
      <c r="R21" s="574"/>
      <c r="S21" s="556"/>
      <c r="T21" s="556"/>
      <c r="U21" s="574"/>
      <c r="V21" s="575"/>
      <c r="W21" s="500">
        <v>12</v>
      </c>
      <c r="X21" s="500">
        <v>12</v>
      </c>
      <c r="Y21" s="561"/>
      <c r="Z21" s="556"/>
      <c r="AA21" s="556"/>
      <c r="AB21" s="575"/>
      <c r="AC21" s="561"/>
      <c r="AD21" s="500">
        <v>12</v>
      </c>
      <c r="AE21" s="500">
        <v>12</v>
      </c>
      <c r="AF21" s="574"/>
      <c r="AG21" s="561"/>
      <c r="AH21" s="561"/>
      <c r="AI21" s="574"/>
      <c r="AJ21" s="576"/>
      <c r="AK21" s="500">
        <v>12</v>
      </c>
      <c r="AL21" s="500">
        <v>12</v>
      </c>
      <c r="AM21" s="577"/>
      <c r="AN21" s="563">
        <v>144</v>
      </c>
    </row>
    <row r="22" spans="1:41" ht="15.6" x14ac:dyDescent="0.3">
      <c r="A22" s="71"/>
      <c r="B22" s="71"/>
      <c r="C22" s="71"/>
      <c r="D22" s="72"/>
      <c r="E22" s="73"/>
      <c r="F22" s="72"/>
      <c r="G22" s="93"/>
      <c r="H22" s="74"/>
      <c r="I22" s="65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pans="1:41" s="6" customFormat="1" ht="15.6" x14ac:dyDescent="0.3">
      <c r="A23" s="1132" t="s">
        <v>548</v>
      </c>
      <c r="B23" s="1133"/>
      <c r="C23" s="1133"/>
      <c r="D23" s="1133"/>
      <c r="E23" s="1133"/>
      <c r="F23" s="1133"/>
      <c r="G23" s="1133"/>
      <c r="H23" s="1133"/>
      <c r="I23" s="1133"/>
      <c r="J23" s="1134"/>
      <c r="K23" s="1134"/>
      <c r="L23" s="1134"/>
      <c r="M23" s="1134"/>
      <c r="N23" s="1134"/>
      <c r="O23" s="1134"/>
      <c r="P23" s="1134"/>
      <c r="Q23" s="1134"/>
      <c r="R23" s="1134"/>
      <c r="S23" s="1134"/>
      <c r="T23" s="1133"/>
      <c r="U23" s="1133"/>
      <c r="V23" s="1133"/>
      <c r="W23" s="1133"/>
      <c r="X23" s="1133"/>
      <c r="Y23" s="1133"/>
      <c r="Z23" s="1133"/>
      <c r="AA23" s="1133"/>
      <c r="AB23" s="1133"/>
      <c r="AC23" s="1133"/>
      <c r="AD23" s="1133"/>
      <c r="AE23" s="1133"/>
      <c r="AF23" s="1133"/>
      <c r="AG23" s="1133"/>
      <c r="AH23" s="1133"/>
      <c r="AI23" s="1133"/>
      <c r="AJ23" s="1133"/>
      <c r="AK23" s="1133"/>
      <c r="AL23" s="1133"/>
      <c r="AM23" s="1133"/>
      <c r="AN23" s="1133"/>
    </row>
    <row r="24" spans="1:41" s="6" customFormat="1" ht="15.6" x14ac:dyDescent="0.3">
      <c r="A24" s="1130" t="s">
        <v>1153</v>
      </c>
      <c r="B24" s="1131"/>
      <c r="C24" s="1131"/>
      <c r="D24" s="1131"/>
      <c r="E24" s="1131"/>
      <c r="F24" s="1131"/>
      <c r="G24" s="1131"/>
      <c r="H24" s="1131"/>
      <c r="I24" s="1131"/>
      <c r="J24" s="1131"/>
      <c r="K24" s="1131"/>
      <c r="L24" s="1131"/>
      <c r="M24" s="1131"/>
      <c r="N24" s="1131"/>
      <c r="O24" s="1131"/>
      <c r="P24" s="1131"/>
      <c r="Q24" s="1131"/>
      <c r="R24" s="1131"/>
      <c r="S24" s="1131"/>
      <c r="T24" s="1131"/>
      <c r="U24" s="1131"/>
      <c r="V24" s="1131"/>
      <c r="W24" s="1131"/>
      <c r="X24" s="1131"/>
      <c r="Y24" s="1131"/>
      <c r="Z24" s="1131"/>
      <c r="AA24" s="1131"/>
      <c r="AB24" s="1131"/>
      <c r="AC24" s="1131"/>
      <c r="AD24" s="1131"/>
      <c r="AE24" s="1131"/>
      <c r="AF24" s="1131"/>
      <c r="AG24" s="1131"/>
      <c r="AH24" s="1131"/>
      <c r="AI24" s="1131"/>
      <c r="AJ24" s="1131"/>
      <c r="AK24" s="1131"/>
      <c r="AL24" s="1131"/>
      <c r="AM24" s="1131"/>
      <c r="AN24" s="1131"/>
    </row>
    <row r="25" spans="1:41" s="6" customFormat="1" ht="15.6" x14ac:dyDescent="0.3">
      <c r="A25" s="1130" t="s">
        <v>1154</v>
      </c>
      <c r="B25" s="1131"/>
      <c r="C25" s="1131"/>
      <c r="D25" s="1131"/>
      <c r="E25" s="1131"/>
      <c r="F25" s="1131"/>
      <c r="G25" s="1131"/>
      <c r="H25" s="1131"/>
      <c r="I25" s="1131"/>
      <c r="J25" s="1131"/>
      <c r="K25" s="1131"/>
      <c r="L25" s="1131"/>
      <c r="M25" s="1131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  <c r="Z25" s="1131"/>
      <c r="AA25" s="1131"/>
      <c r="AB25" s="1131"/>
      <c r="AC25" s="1131"/>
      <c r="AD25" s="1131"/>
      <c r="AE25" s="1131"/>
      <c r="AF25" s="1131"/>
      <c r="AG25" s="1131"/>
      <c r="AH25" s="1131"/>
      <c r="AI25" s="1131"/>
      <c r="AJ25" s="1131"/>
      <c r="AK25" s="1131"/>
      <c r="AL25" s="1131"/>
      <c r="AM25" s="1131"/>
      <c r="AN25" s="1131"/>
    </row>
    <row r="26" spans="1:41" s="6" customFormat="1" ht="15.6" x14ac:dyDescent="0.3">
      <c r="A26" s="1130" t="s">
        <v>1155</v>
      </c>
      <c r="B26" s="1131"/>
      <c r="C26" s="1131"/>
      <c r="D26" s="1131"/>
      <c r="E26" s="1131"/>
      <c r="F26" s="1131"/>
      <c r="G26" s="1131"/>
      <c r="H26" s="1131"/>
      <c r="I26" s="1131"/>
      <c r="J26" s="1131"/>
      <c r="K26" s="1131"/>
      <c r="L26" s="1131"/>
      <c r="M26" s="1131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  <c r="Z26" s="1131"/>
      <c r="AA26" s="1131"/>
      <c r="AB26" s="1131"/>
      <c r="AC26" s="1131"/>
      <c r="AD26" s="1131"/>
      <c r="AE26" s="1131"/>
      <c r="AF26" s="1131"/>
      <c r="AG26" s="1131"/>
      <c r="AH26" s="1131"/>
      <c r="AI26" s="1131"/>
      <c r="AJ26" s="1131"/>
      <c r="AK26" s="1131"/>
      <c r="AL26" s="1131"/>
      <c r="AM26" s="1131"/>
      <c r="AN26" s="1131"/>
    </row>
    <row r="27" spans="1:41" s="6" customFormat="1" ht="15.6" x14ac:dyDescent="0.3">
      <c r="A27" s="1130" t="s">
        <v>1156</v>
      </c>
      <c r="B27" s="1131"/>
      <c r="C27" s="1131"/>
      <c r="D27" s="1131"/>
      <c r="E27" s="1131"/>
      <c r="F27" s="1131"/>
      <c r="G27" s="1131"/>
      <c r="H27" s="1131"/>
      <c r="I27" s="1131"/>
      <c r="J27" s="1131"/>
      <c r="K27" s="1131"/>
      <c r="L27" s="1131"/>
      <c r="M27" s="1131"/>
      <c r="N27" s="1131"/>
      <c r="O27" s="1131"/>
      <c r="P27" s="1131"/>
      <c r="Q27" s="1131"/>
      <c r="R27" s="1131"/>
      <c r="S27" s="1131"/>
      <c r="T27" s="1131"/>
      <c r="U27" s="1131"/>
      <c r="V27" s="1131"/>
      <c r="W27" s="1131"/>
      <c r="X27" s="1131"/>
      <c r="Y27" s="1131"/>
      <c r="Z27" s="1131"/>
      <c r="AA27" s="1131"/>
      <c r="AB27" s="1131"/>
      <c r="AC27" s="1131"/>
      <c r="AD27" s="1131"/>
      <c r="AE27" s="1131"/>
      <c r="AF27" s="1131"/>
      <c r="AG27" s="1131"/>
      <c r="AH27" s="1131"/>
      <c r="AI27" s="1131"/>
      <c r="AJ27" s="1131"/>
      <c r="AK27" s="1131"/>
      <c r="AL27" s="1131"/>
      <c r="AM27" s="1131"/>
      <c r="AN27" s="1131"/>
    </row>
    <row r="28" spans="1:41" x14ac:dyDescent="0.3">
      <c r="A28" s="65"/>
      <c r="B28" s="87"/>
      <c r="C28" s="87"/>
      <c r="D28" s="65"/>
      <c r="E28" s="87"/>
      <c r="F28" s="83"/>
      <c r="G28" s="84"/>
      <c r="H28" s="65"/>
      <c r="I28" s="84"/>
      <c r="J28" s="88"/>
      <c r="K28" s="84"/>
      <c r="L28" s="65"/>
      <c r="M28" s="65"/>
      <c r="N28" s="84"/>
      <c r="O28" s="84"/>
      <c r="P28" s="84"/>
      <c r="Q28" s="88"/>
      <c r="R28" s="88"/>
      <c r="S28" s="65"/>
      <c r="T28" s="84"/>
      <c r="U28" s="88"/>
      <c r="V28" s="79"/>
      <c r="W28" s="79"/>
      <c r="X28" s="65"/>
      <c r="Y28" s="90"/>
      <c r="Z28" s="79"/>
      <c r="AA28" s="90"/>
      <c r="AB28" s="79"/>
      <c r="AC28" s="90"/>
      <c r="AD28" s="65"/>
      <c r="AE28" s="84"/>
      <c r="AF28" s="65"/>
      <c r="AG28" s="84"/>
      <c r="AH28" s="79"/>
      <c r="AI28" s="90"/>
      <c r="AJ28" s="65"/>
      <c r="AK28" s="89"/>
      <c r="AL28" s="84"/>
      <c r="AM28" s="79"/>
      <c r="AN28" s="65"/>
      <c r="AO28" s="65"/>
    </row>
    <row r="29" spans="1:41" ht="15" thickBot="1" x14ac:dyDescent="0.35">
      <c r="A29" s="82"/>
      <c r="B29" s="86"/>
      <c r="C29" s="85"/>
      <c r="D29" s="77"/>
      <c r="E29" s="77"/>
      <c r="F29" s="77"/>
      <c r="G29" s="77"/>
      <c r="H29" s="77"/>
      <c r="I29" s="77"/>
      <c r="J29" s="78"/>
      <c r="K29" s="77"/>
      <c r="L29" s="78"/>
      <c r="M29" s="78"/>
      <c r="N29" s="77"/>
      <c r="O29" s="77"/>
      <c r="P29" s="77"/>
      <c r="Q29" s="78"/>
      <c r="R29" s="78"/>
      <c r="S29" s="77"/>
      <c r="T29" s="77"/>
      <c r="U29" s="78"/>
      <c r="V29" s="77"/>
      <c r="W29" s="78"/>
      <c r="X29" s="77"/>
      <c r="Y29" s="77"/>
      <c r="Z29" s="78"/>
      <c r="AA29" s="77"/>
      <c r="AB29" s="78"/>
      <c r="AC29" s="77"/>
      <c r="AD29" s="78"/>
      <c r="AE29" s="77"/>
      <c r="AF29" s="78"/>
      <c r="AG29" s="77"/>
      <c r="AH29" s="78"/>
      <c r="AI29" s="77"/>
      <c r="AJ29" s="78"/>
      <c r="AK29" s="77"/>
      <c r="AL29" s="77"/>
      <c r="AM29" s="78"/>
      <c r="AN29" s="78"/>
      <c r="AO29" s="65"/>
    </row>
    <row r="30" spans="1:41" s="487" customFormat="1" x14ac:dyDescent="0.3">
      <c r="A30" s="1121" t="s">
        <v>1157</v>
      </c>
      <c r="B30" s="1122"/>
      <c r="C30" s="1123"/>
      <c r="D30" s="578"/>
      <c r="E30" s="579"/>
      <c r="F30" s="580"/>
      <c r="G30" s="579"/>
      <c r="H30" s="579"/>
      <c r="I30" s="579"/>
      <c r="J30" s="579"/>
      <c r="K30" s="579"/>
      <c r="L30" s="579"/>
      <c r="M30" s="581"/>
      <c r="N30" s="579"/>
      <c r="O30" s="579"/>
      <c r="P30" s="579"/>
      <c r="Q30" s="579"/>
      <c r="R30" s="579"/>
      <c r="S30" s="579"/>
      <c r="T30" s="579"/>
      <c r="U30" s="579"/>
      <c r="V30" s="579"/>
      <c r="W30" s="579"/>
      <c r="X30" s="579"/>
      <c r="Y30" s="579"/>
      <c r="Z30" s="579"/>
      <c r="AA30" s="579"/>
      <c r="AB30" s="579"/>
      <c r="AC30" s="579"/>
      <c r="AD30" s="581"/>
      <c r="AE30" s="579"/>
      <c r="AF30" s="579"/>
      <c r="AG30" s="579"/>
      <c r="AH30" s="579"/>
      <c r="AI30" s="579"/>
      <c r="AJ30" s="579"/>
      <c r="AK30" s="579"/>
      <c r="AL30" s="579"/>
      <c r="AM30" s="579"/>
      <c r="AN30" s="579"/>
    </row>
    <row r="31" spans="1:41" s="487" customFormat="1" x14ac:dyDescent="0.3">
      <c r="A31" s="1124" t="s">
        <v>1158</v>
      </c>
      <c r="B31" s="1125"/>
      <c r="C31" s="1126"/>
      <c r="D31" s="578"/>
      <c r="E31" s="579"/>
      <c r="F31" s="579"/>
      <c r="G31" s="579"/>
      <c r="H31" s="579"/>
      <c r="I31" s="579"/>
      <c r="J31" s="579"/>
      <c r="K31" s="579"/>
      <c r="L31" s="579"/>
      <c r="M31" s="579"/>
      <c r="N31" s="579"/>
      <c r="O31" s="579"/>
      <c r="P31" s="579"/>
      <c r="Q31" s="579"/>
      <c r="R31" s="579"/>
      <c r="S31" s="579"/>
      <c r="T31" s="579"/>
      <c r="U31" s="579"/>
      <c r="V31" s="579"/>
      <c r="W31" s="579"/>
      <c r="X31" s="579"/>
      <c r="Y31" s="579"/>
      <c r="Z31" s="579"/>
      <c r="AA31" s="579"/>
      <c r="AB31" s="579"/>
      <c r="AC31" s="579"/>
      <c r="AD31" s="579"/>
      <c r="AE31" s="579"/>
      <c r="AF31" s="579"/>
      <c r="AG31" s="579"/>
      <c r="AH31" s="579"/>
      <c r="AI31" s="579"/>
      <c r="AJ31" s="579"/>
      <c r="AK31" s="579"/>
      <c r="AL31" s="579"/>
      <c r="AM31" s="579"/>
      <c r="AN31" s="579"/>
    </row>
    <row r="32" spans="1:41" s="487" customFormat="1" x14ac:dyDescent="0.3">
      <c r="A32" s="1118" t="s">
        <v>1159</v>
      </c>
      <c r="B32" s="1119"/>
      <c r="C32" s="1120"/>
      <c r="D32" s="582"/>
      <c r="E32" s="579"/>
      <c r="F32" s="579"/>
      <c r="G32" s="579"/>
      <c r="H32" s="579"/>
      <c r="I32" s="579"/>
      <c r="J32" s="579"/>
      <c r="K32" s="579"/>
      <c r="L32" s="579"/>
      <c r="M32" s="579"/>
      <c r="N32" s="579"/>
      <c r="O32" s="579"/>
      <c r="P32" s="579"/>
      <c r="Q32" s="579"/>
      <c r="R32" s="579"/>
      <c r="S32" s="579"/>
      <c r="T32" s="579"/>
      <c r="U32" s="579"/>
      <c r="V32" s="579"/>
      <c r="W32" s="579"/>
      <c r="X32" s="579"/>
      <c r="Y32" s="579"/>
      <c r="Z32" s="579"/>
      <c r="AA32" s="579"/>
      <c r="AB32" s="579"/>
      <c r="AC32" s="579"/>
      <c r="AD32" s="579"/>
      <c r="AE32" s="579"/>
      <c r="AF32" s="579"/>
      <c r="AG32" s="579"/>
      <c r="AH32" s="579"/>
      <c r="AI32" s="579"/>
      <c r="AJ32" s="579"/>
      <c r="AK32" s="579"/>
      <c r="AL32" s="579"/>
      <c r="AM32" s="579"/>
      <c r="AN32" s="579"/>
    </row>
    <row r="33" spans="1:40" s="487" customFormat="1" x14ac:dyDescent="0.3">
      <c r="A33" s="1127" t="s">
        <v>1160</v>
      </c>
      <c r="B33" s="1128"/>
      <c r="C33" s="1129"/>
      <c r="D33" s="582"/>
      <c r="E33" s="579"/>
      <c r="F33" s="579"/>
      <c r="G33" s="579"/>
      <c r="H33" s="579"/>
      <c r="I33" s="579"/>
      <c r="J33" s="579"/>
      <c r="K33" s="579"/>
      <c r="L33" s="579"/>
      <c r="M33" s="579"/>
      <c r="N33" s="579"/>
      <c r="O33" s="579"/>
      <c r="P33" s="579"/>
      <c r="Q33" s="579"/>
      <c r="R33" s="579"/>
      <c r="S33" s="579"/>
      <c r="T33" s="579"/>
      <c r="U33" s="579"/>
      <c r="V33" s="579"/>
      <c r="W33" s="579"/>
      <c r="X33" s="579"/>
      <c r="Y33" s="579"/>
      <c r="Z33" s="579"/>
      <c r="AA33" s="579"/>
      <c r="AB33" s="579"/>
      <c r="AC33" s="579"/>
      <c r="AD33" s="579"/>
      <c r="AE33" s="579"/>
      <c r="AF33" s="579"/>
      <c r="AG33" s="579"/>
      <c r="AH33" s="579"/>
      <c r="AI33" s="579"/>
      <c r="AJ33" s="579"/>
      <c r="AK33" s="579"/>
      <c r="AL33" s="579"/>
      <c r="AM33" s="579"/>
      <c r="AN33" s="579"/>
    </row>
    <row r="34" spans="1:40" s="487" customFormat="1" x14ac:dyDescent="0.3">
      <c r="A34" s="583" t="s">
        <v>549</v>
      </c>
      <c r="B34" s="584"/>
      <c r="C34" s="585"/>
      <c r="D34" s="582"/>
      <c r="E34" s="579"/>
      <c r="F34" s="579"/>
      <c r="G34" s="579"/>
      <c r="H34" s="579"/>
      <c r="I34" s="579"/>
      <c r="J34" s="579"/>
      <c r="K34" s="579"/>
      <c r="L34" s="579"/>
      <c r="M34" s="579"/>
      <c r="N34" s="579"/>
      <c r="O34" s="579"/>
      <c r="P34" s="579"/>
      <c r="Q34" s="579"/>
      <c r="R34" s="579"/>
      <c r="S34" s="579"/>
      <c r="T34" s="579"/>
      <c r="U34" s="579"/>
      <c r="V34" s="579"/>
      <c r="W34" s="579"/>
      <c r="X34" s="579"/>
      <c r="Y34" s="579"/>
      <c r="Z34" s="579"/>
      <c r="AA34" s="579"/>
      <c r="AB34" s="579"/>
      <c r="AC34" s="579"/>
      <c r="AD34" s="579"/>
      <c r="AE34" s="579"/>
      <c r="AF34" s="579"/>
      <c r="AG34" s="579"/>
      <c r="AH34" s="579"/>
      <c r="AI34" s="579"/>
      <c r="AJ34" s="579"/>
      <c r="AK34" s="579"/>
      <c r="AL34" s="579"/>
      <c r="AM34" s="579"/>
      <c r="AN34" s="579"/>
    </row>
    <row r="35" spans="1:40" s="487" customFormat="1" x14ac:dyDescent="0.3">
      <c r="A35" s="1115" t="s">
        <v>550</v>
      </c>
      <c r="B35" s="1116"/>
      <c r="C35" s="1117"/>
      <c r="E35" s="579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579"/>
      <c r="AI35" s="579"/>
      <c r="AJ35" s="579"/>
      <c r="AK35" s="579"/>
      <c r="AL35" s="579"/>
      <c r="AM35" s="579"/>
      <c r="AN35" s="579"/>
    </row>
    <row r="36" spans="1:40" s="487" customFormat="1" x14ac:dyDescent="0.3">
      <c r="A36" s="586" t="s">
        <v>551</v>
      </c>
      <c r="B36" s="587"/>
      <c r="C36" s="588"/>
      <c r="D36" s="578"/>
      <c r="E36" s="579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579"/>
      <c r="AM36" s="579"/>
      <c r="AN36" s="579"/>
    </row>
    <row r="37" spans="1:40" x14ac:dyDescent="0.3">
      <c r="A37" s="65"/>
      <c r="B37" s="91"/>
      <c r="C37" s="65"/>
      <c r="D37" s="77"/>
      <c r="E37" s="77"/>
      <c r="F37" s="77"/>
      <c r="G37" s="80"/>
      <c r="H37" s="80"/>
      <c r="I37" s="80"/>
      <c r="J37" s="80"/>
      <c r="K37" s="80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</row>
    <row r="38" spans="1:40" x14ac:dyDescent="0.3">
      <c r="A38" s="97"/>
      <c r="B38" s="97"/>
      <c r="C38" s="97"/>
      <c r="D38" s="97"/>
      <c r="E38" s="97"/>
      <c r="F38" s="9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</row>
    <row r="39" spans="1:40" ht="15.6" x14ac:dyDescent="0.3">
      <c r="A39" s="98"/>
      <c r="B39" s="98"/>
      <c r="C39" s="98"/>
      <c r="D39" s="99"/>
      <c r="E39" s="100"/>
      <c r="F39" s="99"/>
      <c r="G39" s="78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</row>
    <row r="40" spans="1:40" ht="21" x14ac:dyDescent="0.3">
      <c r="A40" s="98"/>
      <c r="B40" s="98"/>
      <c r="C40" s="98"/>
      <c r="D40" s="99"/>
      <c r="E40" s="100"/>
      <c r="F40" s="99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</row>
    <row r="41" spans="1:40" ht="21" x14ac:dyDescent="0.3">
      <c r="A41" s="101"/>
      <c r="B41" s="101"/>
      <c r="C41" s="101"/>
      <c r="D41" s="99"/>
      <c r="E41" s="100"/>
      <c r="F41" s="99"/>
      <c r="G41" s="92"/>
      <c r="H41" s="92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</row>
  </sheetData>
  <mergeCells count="24">
    <mergeCell ref="A27:AN27"/>
    <mergeCell ref="A23:AN23"/>
    <mergeCell ref="A24:AN24"/>
    <mergeCell ref="A25:AN25"/>
    <mergeCell ref="A26:AN26"/>
    <mergeCell ref="A35:C35"/>
    <mergeCell ref="A32:C32"/>
    <mergeCell ref="A30:C30"/>
    <mergeCell ref="A31:C31"/>
    <mergeCell ref="A33:C33"/>
    <mergeCell ref="A1:AN1"/>
    <mergeCell ref="A2:AN2"/>
    <mergeCell ref="I12:AM12"/>
    <mergeCell ref="A3:AN3"/>
    <mergeCell ref="I18:AM18"/>
    <mergeCell ref="A12:H12"/>
    <mergeCell ref="A18:H18"/>
    <mergeCell ref="I4:AM4"/>
    <mergeCell ref="A4:H4"/>
    <mergeCell ref="AN4:AN6"/>
    <mergeCell ref="A5:D5"/>
    <mergeCell ref="F5:F6"/>
    <mergeCell ref="G5:H5"/>
    <mergeCell ref="E5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selection activeCell="E12" sqref="E12"/>
    </sheetView>
  </sheetViews>
  <sheetFormatPr baseColWidth="10" defaultColWidth="11.44140625" defaultRowHeight="10.199999999999999" x14ac:dyDescent="0.2"/>
  <cols>
    <col min="1" max="1" width="9.44140625" style="503" customWidth="1"/>
    <col min="2" max="2" width="10.33203125" style="503" customWidth="1"/>
    <col min="3" max="3" width="12.6640625" style="503" customWidth="1"/>
    <col min="4" max="5" width="11.44140625" style="503"/>
    <col min="6" max="6" width="11.5546875" style="503" bestFit="1" customWidth="1"/>
    <col min="7" max="7" width="12.33203125" style="503" bestFit="1" customWidth="1"/>
    <col min="8" max="8" width="11.44140625" style="503"/>
    <col min="9" max="39" width="2.6640625" style="503" bestFit="1" customWidth="1"/>
    <col min="40" max="40" width="5.6640625" style="503" customWidth="1"/>
    <col min="41" max="16384" width="11.44140625" style="503"/>
  </cols>
  <sheetData>
    <row r="1" spans="1:42" x14ac:dyDescent="0.2">
      <c r="A1" s="1135" t="s">
        <v>193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  <c r="L1" s="1135"/>
      <c r="M1" s="1135"/>
      <c r="N1" s="1135"/>
      <c r="O1" s="1135"/>
      <c r="P1" s="1135"/>
      <c r="Q1" s="1135"/>
      <c r="R1" s="1135"/>
      <c r="S1" s="1135"/>
      <c r="T1" s="1135"/>
      <c r="U1" s="1135"/>
      <c r="V1" s="1135"/>
      <c r="W1" s="1135"/>
      <c r="X1" s="1135"/>
      <c r="Y1" s="1135"/>
      <c r="Z1" s="1135"/>
      <c r="AA1" s="1135"/>
      <c r="AB1" s="1135"/>
      <c r="AC1" s="1135"/>
      <c r="AD1" s="1135"/>
      <c r="AE1" s="1135"/>
      <c r="AF1" s="1135"/>
      <c r="AG1" s="1135"/>
      <c r="AH1" s="1135"/>
      <c r="AI1" s="1135"/>
      <c r="AJ1" s="1135"/>
      <c r="AK1" s="1135"/>
      <c r="AL1" s="1135"/>
      <c r="AM1" s="1135"/>
      <c r="AN1" s="1135"/>
      <c r="AO1" s="589"/>
      <c r="AP1" s="589"/>
    </row>
    <row r="2" spans="1:42" x14ac:dyDescent="0.2">
      <c r="A2" s="1136" t="s">
        <v>552</v>
      </c>
      <c r="B2" s="1137"/>
      <c r="C2" s="1137"/>
      <c r="D2" s="1137"/>
      <c r="E2" s="1137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1138"/>
      <c r="AA2" s="1138"/>
      <c r="AB2" s="1138"/>
      <c r="AC2" s="1138"/>
      <c r="AD2" s="1138"/>
      <c r="AE2" s="1138"/>
      <c r="AF2" s="1138"/>
      <c r="AG2" s="1138"/>
      <c r="AH2" s="1138"/>
      <c r="AI2" s="1138"/>
      <c r="AJ2" s="1138"/>
      <c r="AK2" s="1138"/>
      <c r="AL2" s="1138"/>
      <c r="AM2" s="1138"/>
      <c r="AN2" s="1138"/>
      <c r="AO2" s="589"/>
      <c r="AP2" s="589"/>
    </row>
    <row r="3" spans="1:42" x14ac:dyDescent="0.2">
      <c r="A3" s="1139" t="s">
        <v>553</v>
      </c>
      <c r="B3" s="1140"/>
      <c r="C3" s="1139" t="s">
        <v>124</v>
      </c>
      <c r="D3" s="1141"/>
      <c r="E3" s="1141"/>
      <c r="F3" s="1135"/>
      <c r="G3" s="1135"/>
      <c r="H3" s="1135"/>
      <c r="I3" s="1135"/>
      <c r="J3" s="1135"/>
      <c r="K3" s="1135"/>
      <c r="L3" s="1135"/>
      <c r="M3" s="1135"/>
      <c r="N3" s="1135"/>
      <c r="O3" s="1135"/>
      <c r="P3" s="1135"/>
      <c r="Q3" s="1135"/>
      <c r="R3" s="1135"/>
      <c r="S3" s="1135"/>
      <c r="T3" s="1135"/>
      <c r="U3" s="1135"/>
      <c r="V3" s="1135"/>
      <c r="W3" s="1135"/>
      <c r="X3" s="1135"/>
      <c r="Y3" s="1135"/>
      <c r="Z3" s="1135"/>
      <c r="AA3" s="1135"/>
      <c r="AB3" s="1135"/>
      <c r="AC3" s="1135"/>
      <c r="AD3" s="1135"/>
      <c r="AE3" s="1135"/>
      <c r="AF3" s="1135"/>
      <c r="AG3" s="1135"/>
      <c r="AH3" s="1135"/>
      <c r="AI3" s="1135"/>
      <c r="AJ3" s="1135"/>
      <c r="AK3" s="1135"/>
      <c r="AL3" s="1135"/>
      <c r="AM3" s="1135"/>
      <c r="AN3" s="1135"/>
      <c r="AO3" s="589"/>
      <c r="AP3" s="589"/>
    </row>
    <row r="4" spans="1:42" x14ac:dyDescent="0.2">
      <c r="A4" s="590"/>
      <c r="B4" s="591"/>
      <c r="C4" s="590"/>
      <c r="D4" s="592"/>
      <c r="E4" s="592"/>
      <c r="F4" s="1135"/>
      <c r="G4" s="1135"/>
      <c r="H4" s="1135"/>
      <c r="I4" s="1135"/>
      <c r="J4" s="1135"/>
      <c r="K4" s="1135"/>
      <c r="L4" s="1135"/>
      <c r="M4" s="1135"/>
      <c r="N4" s="1135"/>
      <c r="O4" s="1135"/>
      <c r="P4" s="1135"/>
      <c r="Q4" s="1135"/>
      <c r="R4" s="1135"/>
      <c r="S4" s="1135"/>
      <c r="T4" s="1135"/>
      <c r="U4" s="1135"/>
      <c r="V4" s="1135"/>
      <c r="W4" s="1135"/>
      <c r="X4" s="1135"/>
      <c r="Y4" s="1135"/>
      <c r="Z4" s="1135"/>
      <c r="AA4" s="1135"/>
      <c r="AB4" s="1135"/>
      <c r="AC4" s="1135"/>
      <c r="AD4" s="1135"/>
      <c r="AE4" s="1135"/>
      <c r="AF4" s="1135"/>
      <c r="AG4" s="1135"/>
      <c r="AH4" s="1135"/>
      <c r="AI4" s="1135"/>
      <c r="AJ4" s="1135"/>
      <c r="AK4" s="1135"/>
      <c r="AL4" s="1135"/>
      <c r="AM4" s="1135"/>
      <c r="AN4" s="1135"/>
      <c r="AO4" s="589"/>
      <c r="AP4" s="589"/>
    </row>
    <row r="5" spans="1:42" x14ac:dyDescent="0.2">
      <c r="A5" s="1146" t="s">
        <v>126</v>
      </c>
      <c r="B5" s="1147" t="s">
        <v>7</v>
      </c>
      <c r="C5" s="1146" t="s">
        <v>8</v>
      </c>
      <c r="D5" s="1146" t="s">
        <v>9</v>
      </c>
      <c r="E5" s="1146" t="s">
        <v>10</v>
      </c>
      <c r="F5" s="1144" t="s">
        <v>130</v>
      </c>
      <c r="G5" s="1144" t="s">
        <v>554</v>
      </c>
      <c r="H5" s="1144" t="s">
        <v>555</v>
      </c>
      <c r="I5" s="593">
        <v>1</v>
      </c>
      <c r="J5" s="593">
        <v>2</v>
      </c>
      <c r="K5" s="594">
        <v>3</v>
      </c>
      <c r="L5" s="594">
        <v>4</v>
      </c>
      <c r="M5" s="594">
        <v>5</v>
      </c>
      <c r="N5" s="593">
        <v>6</v>
      </c>
      <c r="O5" s="593">
        <v>7</v>
      </c>
      <c r="P5" s="593">
        <v>8</v>
      </c>
      <c r="Q5" s="593">
        <v>9</v>
      </c>
      <c r="R5" s="594">
        <v>10</v>
      </c>
      <c r="S5" s="594">
        <v>11</v>
      </c>
      <c r="T5" s="594">
        <v>12</v>
      </c>
      <c r="U5" s="594">
        <v>13</v>
      </c>
      <c r="V5" s="594">
        <v>14</v>
      </c>
      <c r="W5" s="593">
        <v>15</v>
      </c>
      <c r="X5" s="593">
        <v>16</v>
      </c>
      <c r="Y5" s="594">
        <v>17</v>
      </c>
      <c r="Z5" s="594">
        <v>18</v>
      </c>
      <c r="AA5" s="594">
        <v>19</v>
      </c>
      <c r="AB5" s="594">
        <v>20</v>
      </c>
      <c r="AC5" s="594">
        <v>21</v>
      </c>
      <c r="AD5" s="593">
        <v>22</v>
      </c>
      <c r="AE5" s="593">
        <v>23</v>
      </c>
      <c r="AF5" s="594">
        <v>24</v>
      </c>
      <c r="AG5" s="594">
        <v>25</v>
      </c>
      <c r="AH5" s="594">
        <v>26</v>
      </c>
      <c r="AI5" s="594">
        <v>27</v>
      </c>
      <c r="AJ5" s="594">
        <v>28</v>
      </c>
      <c r="AK5" s="593">
        <v>29</v>
      </c>
      <c r="AL5" s="593">
        <v>30</v>
      </c>
      <c r="AM5" s="594">
        <v>31</v>
      </c>
      <c r="AN5" s="593" t="s">
        <v>198</v>
      </c>
      <c r="AO5" s="589"/>
      <c r="AP5" s="589"/>
    </row>
    <row r="6" spans="1:42" x14ac:dyDescent="0.2">
      <c r="A6" s="1145"/>
      <c r="B6" s="1145"/>
      <c r="C6" s="1145"/>
      <c r="D6" s="1145"/>
      <c r="E6" s="1145"/>
      <c r="F6" s="1145"/>
      <c r="G6" s="1145"/>
      <c r="H6" s="1145"/>
      <c r="I6" s="595" t="s">
        <v>16</v>
      </c>
      <c r="J6" s="595" t="s">
        <v>17</v>
      </c>
      <c r="K6" s="596" t="s">
        <v>18</v>
      </c>
      <c r="L6" s="596" t="s">
        <v>19</v>
      </c>
      <c r="M6" s="596" t="s">
        <v>19</v>
      </c>
      <c r="N6" s="595" t="s">
        <v>20</v>
      </c>
      <c r="O6" s="595" t="s">
        <v>21</v>
      </c>
      <c r="P6" s="595" t="s">
        <v>16</v>
      </c>
      <c r="Q6" s="595" t="s">
        <v>17</v>
      </c>
      <c r="R6" s="596" t="s">
        <v>18</v>
      </c>
      <c r="S6" s="596" t="s">
        <v>19</v>
      </c>
      <c r="T6" s="596" t="s">
        <v>19</v>
      </c>
      <c r="U6" s="596" t="s">
        <v>20</v>
      </c>
      <c r="V6" s="596" t="s">
        <v>21</v>
      </c>
      <c r="W6" s="595" t="s">
        <v>16</v>
      </c>
      <c r="X6" s="595" t="s">
        <v>17</v>
      </c>
      <c r="Y6" s="596" t="s">
        <v>18</v>
      </c>
      <c r="Z6" s="596" t="s">
        <v>19</v>
      </c>
      <c r="AA6" s="597" t="s">
        <v>19</v>
      </c>
      <c r="AB6" s="597" t="s">
        <v>20</v>
      </c>
      <c r="AC6" s="597" t="s">
        <v>21</v>
      </c>
      <c r="AD6" s="595" t="s">
        <v>16</v>
      </c>
      <c r="AE6" s="595" t="s">
        <v>17</v>
      </c>
      <c r="AF6" s="596" t="s">
        <v>18</v>
      </c>
      <c r="AG6" s="596" t="s">
        <v>19</v>
      </c>
      <c r="AH6" s="596" t="s">
        <v>19</v>
      </c>
      <c r="AI6" s="596" t="s">
        <v>20</v>
      </c>
      <c r="AJ6" s="596" t="s">
        <v>21</v>
      </c>
      <c r="AK6" s="595" t="s">
        <v>16</v>
      </c>
      <c r="AL6" s="595" t="s">
        <v>17</v>
      </c>
      <c r="AM6" s="596" t="s">
        <v>18</v>
      </c>
      <c r="AN6" s="595" t="s">
        <v>556</v>
      </c>
      <c r="AO6" s="589"/>
      <c r="AP6" s="589"/>
    </row>
    <row r="7" spans="1:42" ht="20.399999999999999" x14ac:dyDescent="0.2">
      <c r="A7" s="598">
        <v>3198171</v>
      </c>
      <c r="B7" s="598" t="s">
        <v>557</v>
      </c>
      <c r="C7" s="598" t="s">
        <v>302</v>
      </c>
      <c r="D7" s="598" t="s">
        <v>558</v>
      </c>
      <c r="E7" s="598" t="s">
        <v>559</v>
      </c>
      <c r="F7" s="598">
        <v>76311627</v>
      </c>
      <c r="G7" s="599">
        <v>0.3125</v>
      </c>
      <c r="H7" s="599" t="s">
        <v>560</v>
      </c>
      <c r="I7" s="600"/>
      <c r="J7" s="595"/>
      <c r="K7" s="601">
        <v>6</v>
      </c>
      <c r="L7" s="601">
        <v>6</v>
      </c>
      <c r="M7" s="596">
        <v>6</v>
      </c>
      <c r="N7" s="595"/>
      <c r="O7" s="595"/>
      <c r="P7" s="602"/>
      <c r="Q7" s="603"/>
      <c r="R7" s="604">
        <v>6</v>
      </c>
      <c r="S7" s="604">
        <v>6</v>
      </c>
      <c r="T7" s="604">
        <v>6</v>
      </c>
      <c r="U7" s="604">
        <v>6</v>
      </c>
      <c r="V7" s="604">
        <v>6</v>
      </c>
      <c r="W7" s="595"/>
      <c r="X7" s="595"/>
      <c r="Y7" s="604">
        <v>6</v>
      </c>
      <c r="Z7" s="604">
        <v>6</v>
      </c>
      <c r="AA7" s="604">
        <v>6</v>
      </c>
      <c r="AB7" s="604">
        <v>6</v>
      </c>
      <c r="AC7" s="604">
        <v>6</v>
      </c>
      <c r="AD7" s="595"/>
      <c r="AE7" s="595"/>
      <c r="AF7" s="604">
        <v>6</v>
      </c>
      <c r="AG7" s="604">
        <v>6</v>
      </c>
      <c r="AH7" s="604">
        <v>6</v>
      </c>
      <c r="AI7" s="604">
        <v>6</v>
      </c>
      <c r="AJ7" s="596">
        <v>6</v>
      </c>
      <c r="AK7" s="595"/>
      <c r="AL7" s="600"/>
      <c r="AM7" s="601">
        <v>6</v>
      </c>
      <c r="AN7" s="605">
        <f>SUM(I7:AM7)</f>
        <v>114</v>
      </c>
      <c r="AO7" s="589"/>
      <c r="AP7" s="589"/>
    </row>
    <row r="8" spans="1:42" ht="30.6" x14ac:dyDescent="0.2">
      <c r="A8" s="606">
        <v>8931918</v>
      </c>
      <c r="B8" s="606" t="s">
        <v>561</v>
      </c>
      <c r="C8" s="606" t="s">
        <v>59</v>
      </c>
      <c r="D8" s="606" t="s">
        <v>562</v>
      </c>
      <c r="E8" s="606" t="s">
        <v>563</v>
      </c>
      <c r="F8" s="606">
        <v>72665928</v>
      </c>
      <c r="G8" s="607">
        <v>0.3125</v>
      </c>
      <c r="H8" s="608" t="s">
        <v>560</v>
      </c>
      <c r="I8" s="600"/>
      <c r="J8" s="595"/>
      <c r="K8" s="601">
        <v>6</v>
      </c>
      <c r="L8" s="601">
        <v>6</v>
      </c>
      <c r="M8" s="596">
        <v>6</v>
      </c>
      <c r="N8" s="595"/>
      <c r="O8" s="595"/>
      <c r="P8" s="602"/>
      <c r="Q8" s="603"/>
      <c r="R8" s="604">
        <v>6</v>
      </c>
      <c r="S8" s="604">
        <v>6</v>
      </c>
      <c r="T8" s="604">
        <v>6</v>
      </c>
      <c r="U8" s="604">
        <v>6</v>
      </c>
      <c r="V8" s="604">
        <v>6</v>
      </c>
      <c r="W8" s="595"/>
      <c r="X8" s="595"/>
      <c r="Y8" s="604">
        <v>6</v>
      </c>
      <c r="Z8" s="604">
        <v>6</v>
      </c>
      <c r="AA8" s="604">
        <v>6</v>
      </c>
      <c r="AB8" s="604">
        <v>6</v>
      </c>
      <c r="AC8" s="604">
        <v>6</v>
      </c>
      <c r="AD8" s="595"/>
      <c r="AE8" s="595"/>
      <c r="AF8" s="604">
        <v>6</v>
      </c>
      <c r="AG8" s="604">
        <v>6</v>
      </c>
      <c r="AH8" s="604">
        <v>6</v>
      </c>
      <c r="AI8" s="604">
        <v>6</v>
      </c>
      <c r="AJ8" s="596">
        <v>6</v>
      </c>
      <c r="AK8" s="595"/>
      <c r="AL8" s="600"/>
      <c r="AM8" s="601">
        <v>6</v>
      </c>
      <c r="AN8" s="605">
        <f t="shared" ref="AN8:AN13" si="0">SUM(I8:AM8)</f>
        <v>114</v>
      </c>
      <c r="AO8" s="589"/>
      <c r="AP8" s="589"/>
    </row>
    <row r="9" spans="1:42" ht="20.399999999999999" x14ac:dyDescent="0.2">
      <c r="A9" s="606">
        <v>7729492</v>
      </c>
      <c r="B9" s="606" t="s">
        <v>564</v>
      </c>
      <c r="C9" s="606" t="s">
        <v>565</v>
      </c>
      <c r="D9" s="606" t="s">
        <v>566</v>
      </c>
      <c r="E9" s="609" t="s">
        <v>567</v>
      </c>
      <c r="F9" s="606">
        <v>70979327</v>
      </c>
      <c r="G9" s="607" t="s">
        <v>568</v>
      </c>
      <c r="H9" s="608" t="s">
        <v>307</v>
      </c>
      <c r="I9" s="600"/>
      <c r="J9" s="595"/>
      <c r="K9" s="601">
        <v>6</v>
      </c>
      <c r="L9" s="601">
        <v>6</v>
      </c>
      <c r="M9" s="596">
        <v>6</v>
      </c>
      <c r="N9" s="595"/>
      <c r="O9" s="595"/>
      <c r="P9" s="602"/>
      <c r="Q9" s="603"/>
      <c r="R9" s="604">
        <v>6</v>
      </c>
      <c r="S9" s="604">
        <v>6</v>
      </c>
      <c r="T9" s="604">
        <v>6</v>
      </c>
      <c r="U9" s="604">
        <v>6</v>
      </c>
      <c r="V9" s="604">
        <v>6</v>
      </c>
      <c r="W9" s="595"/>
      <c r="X9" s="595"/>
      <c r="Y9" s="604">
        <v>6</v>
      </c>
      <c r="Z9" s="604">
        <v>6</v>
      </c>
      <c r="AA9" s="604">
        <v>6</v>
      </c>
      <c r="AB9" s="604">
        <v>6</v>
      </c>
      <c r="AC9" s="604">
        <v>6</v>
      </c>
      <c r="AD9" s="595"/>
      <c r="AE9" s="595"/>
      <c r="AF9" s="604">
        <v>6</v>
      </c>
      <c r="AG9" s="604">
        <v>6</v>
      </c>
      <c r="AH9" s="604">
        <v>6</v>
      </c>
      <c r="AI9" s="604">
        <v>6</v>
      </c>
      <c r="AJ9" s="596">
        <v>6</v>
      </c>
      <c r="AK9" s="595"/>
      <c r="AL9" s="600"/>
      <c r="AM9" s="601">
        <v>6</v>
      </c>
      <c r="AN9" s="605">
        <f t="shared" si="0"/>
        <v>114</v>
      </c>
      <c r="AO9" s="589"/>
      <c r="AP9" s="589"/>
    </row>
    <row r="10" spans="1:42" ht="20.399999999999999" x14ac:dyDescent="0.2">
      <c r="A10" s="606">
        <v>4060472</v>
      </c>
      <c r="B10" s="606" t="s">
        <v>561</v>
      </c>
      <c r="C10" s="604" t="s">
        <v>569</v>
      </c>
      <c r="D10" s="609" t="s">
        <v>570</v>
      </c>
      <c r="E10" s="610" t="s">
        <v>567</v>
      </c>
      <c r="F10" s="609">
        <v>71090363</v>
      </c>
      <c r="G10" s="607" t="s">
        <v>571</v>
      </c>
      <c r="H10" s="608" t="s">
        <v>572</v>
      </c>
      <c r="I10" s="603">
        <v>12</v>
      </c>
      <c r="J10" s="603"/>
      <c r="K10" s="604"/>
      <c r="L10" s="604">
        <v>12</v>
      </c>
      <c r="M10" s="604"/>
      <c r="N10" s="603"/>
      <c r="O10" s="603" t="s">
        <v>21</v>
      </c>
      <c r="P10" s="603"/>
      <c r="Q10" s="603"/>
      <c r="R10" s="604">
        <v>12</v>
      </c>
      <c r="S10" s="604"/>
      <c r="T10" s="604"/>
      <c r="U10" s="604">
        <v>12</v>
      </c>
      <c r="V10" s="604"/>
      <c r="W10" s="603"/>
      <c r="X10" s="603">
        <v>12</v>
      </c>
      <c r="Y10" s="604"/>
      <c r="Z10" s="604"/>
      <c r="AA10" s="604">
        <v>12</v>
      </c>
      <c r="AB10" s="604"/>
      <c r="AC10" s="604"/>
      <c r="AD10" s="603">
        <v>12</v>
      </c>
      <c r="AE10" s="603"/>
      <c r="AF10" s="611"/>
      <c r="AG10" s="604">
        <v>12</v>
      </c>
      <c r="AH10" s="604"/>
      <c r="AI10" s="604"/>
      <c r="AJ10" s="604">
        <v>12</v>
      </c>
      <c r="AK10" s="603"/>
      <c r="AL10" s="603"/>
      <c r="AM10" s="604">
        <v>12</v>
      </c>
      <c r="AN10" s="605">
        <f t="shared" si="0"/>
        <v>120</v>
      </c>
      <c r="AO10" s="589"/>
      <c r="AP10" s="589"/>
    </row>
    <row r="11" spans="1:42" ht="20.399999999999999" x14ac:dyDescent="0.2">
      <c r="A11" s="609">
        <v>8881588</v>
      </c>
      <c r="B11" s="606" t="s">
        <v>291</v>
      </c>
      <c r="C11" s="606" t="s">
        <v>573</v>
      </c>
      <c r="D11" s="606" t="s">
        <v>574</v>
      </c>
      <c r="E11" s="609" t="s">
        <v>567</v>
      </c>
      <c r="F11" s="606">
        <v>78147306</v>
      </c>
      <c r="G11" s="607" t="s">
        <v>571</v>
      </c>
      <c r="H11" s="608" t="s">
        <v>572</v>
      </c>
      <c r="I11" s="603"/>
      <c r="J11" s="603">
        <v>12</v>
      </c>
      <c r="K11" s="604"/>
      <c r="L11" s="604"/>
      <c r="M11" s="612">
        <v>12</v>
      </c>
      <c r="N11" s="603"/>
      <c r="O11" s="603"/>
      <c r="P11" s="603">
        <v>12</v>
      </c>
      <c r="Q11" s="603"/>
      <c r="R11" s="604"/>
      <c r="S11" s="604">
        <v>12</v>
      </c>
      <c r="T11" s="604"/>
      <c r="U11" s="604"/>
      <c r="V11" s="604">
        <v>12</v>
      </c>
      <c r="W11" s="603"/>
      <c r="X11" s="603"/>
      <c r="Y11" s="604">
        <v>12</v>
      </c>
      <c r="Z11" s="604"/>
      <c r="AA11" s="604"/>
      <c r="AB11" s="604">
        <v>12</v>
      </c>
      <c r="AC11" s="604"/>
      <c r="AD11" s="603"/>
      <c r="AE11" s="603">
        <v>12</v>
      </c>
      <c r="AF11" s="611"/>
      <c r="AG11" s="604"/>
      <c r="AH11" s="604">
        <v>12</v>
      </c>
      <c r="AI11" s="604"/>
      <c r="AJ11" s="604"/>
      <c r="AK11" s="603">
        <v>12</v>
      </c>
      <c r="AL11" s="603"/>
      <c r="AM11" s="604"/>
      <c r="AN11" s="605">
        <f t="shared" si="0"/>
        <v>120</v>
      </c>
      <c r="AO11" s="589"/>
      <c r="AP11" s="589"/>
    </row>
    <row r="12" spans="1:42" ht="20.399999999999999" x14ac:dyDescent="0.2">
      <c r="A12" s="609">
        <v>8060506</v>
      </c>
      <c r="B12" s="606" t="s">
        <v>356</v>
      </c>
      <c r="C12" s="606" t="s">
        <v>55</v>
      </c>
      <c r="D12" s="606" t="s">
        <v>575</v>
      </c>
      <c r="E12" s="609" t="s">
        <v>567</v>
      </c>
      <c r="F12" s="613">
        <v>76697638</v>
      </c>
      <c r="G12" s="607" t="s">
        <v>571</v>
      </c>
      <c r="H12" s="608" t="s">
        <v>572</v>
      </c>
      <c r="I12" s="614"/>
      <c r="J12" s="615"/>
      <c r="K12" s="616">
        <v>12</v>
      </c>
      <c r="L12" s="616"/>
      <c r="M12" s="617"/>
      <c r="N12" s="614">
        <v>12</v>
      </c>
      <c r="O12" s="614"/>
      <c r="P12" s="614"/>
      <c r="Q12" s="614">
        <v>12</v>
      </c>
      <c r="R12" s="616"/>
      <c r="S12" s="616"/>
      <c r="T12" s="616">
        <v>12</v>
      </c>
      <c r="U12" s="616"/>
      <c r="V12" s="616"/>
      <c r="W12" s="614">
        <v>12</v>
      </c>
      <c r="X12" s="614"/>
      <c r="Y12" s="616"/>
      <c r="Z12" s="616">
        <v>12</v>
      </c>
      <c r="AA12" s="616"/>
      <c r="AB12" s="616"/>
      <c r="AC12" s="616">
        <v>12</v>
      </c>
      <c r="AD12" s="614"/>
      <c r="AE12" s="614"/>
      <c r="AF12" s="618">
        <v>12</v>
      </c>
      <c r="AG12" s="604"/>
      <c r="AH12" s="604"/>
      <c r="AI12" s="616">
        <v>12</v>
      </c>
      <c r="AJ12" s="616"/>
      <c r="AK12" s="614"/>
      <c r="AL12" s="614">
        <v>12</v>
      </c>
      <c r="AM12" s="616"/>
      <c r="AN12" s="605">
        <f t="shared" si="0"/>
        <v>120</v>
      </c>
      <c r="AO12" s="589"/>
      <c r="AP12" s="589"/>
    </row>
    <row r="13" spans="1:42" ht="20.399999999999999" x14ac:dyDescent="0.2">
      <c r="A13" s="606">
        <v>5378380</v>
      </c>
      <c r="B13" s="606" t="s">
        <v>576</v>
      </c>
      <c r="C13" s="606" t="s">
        <v>420</v>
      </c>
      <c r="D13" s="606" t="s">
        <v>577</v>
      </c>
      <c r="E13" s="609" t="s">
        <v>567</v>
      </c>
      <c r="F13" s="609">
        <v>68901975</v>
      </c>
      <c r="G13" s="619">
        <v>0.3125</v>
      </c>
      <c r="H13" s="619" t="s">
        <v>307</v>
      </c>
      <c r="I13" s="603">
        <v>12</v>
      </c>
      <c r="J13" s="603">
        <v>12</v>
      </c>
      <c r="K13" s="604"/>
      <c r="L13" s="604"/>
      <c r="M13" s="604"/>
      <c r="N13" s="603">
        <v>12</v>
      </c>
      <c r="O13" s="603">
        <v>12</v>
      </c>
      <c r="P13" s="603">
        <v>12</v>
      </c>
      <c r="Q13" s="603">
        <v>12</v>
      </c>
      <c r="R13" s="604"/>
      <c r="S13" s="620"/>
      <c r="T13" s="620"/>
      <c r="U13" s="604"/>
      <c r="V13" s="604"/>
      <c r="W13" s="603">
        <v>12</v>
      </c>
      <c r="X13" s="603">
        <v>12</v>
      </c>
      <c r="Y13" s="604"/>
      <c r="Z13" s="604"/>
      <c r="AA13" s="604"/>
      <c r="AB13" s="604"/>
      <c r="AC13" s="604"/>
      <c r="AD13" s="603">
        <v>12</v>
      </c>
      <c r="AE13" s="603">
        <v>12</v>
      </c>
      <c r="AF13" s="611"/>
      <c r="AG13" s="604"/>
      <c r="AH13" s="604"/>
      <c r="AI13" s="604"/>
      <c r="AJ13" s="604"/>
      <c r="AK13" s="603">
        <v>12</v>
      </c>
      <c r="AL13" s="603">
        <v>12</v>
      </c>
      <c r="AM13" s="604"/>
      <c r="AN13" s="605">
        <f t="shared" si="0"/>
        <v>144</v>
      </c>
      <c r="AO13" s="589"/>
      <c r="AP13" s="589"/>
    </row>
    <row r="14" spans="1:42" x14ac:dyDescent="0.2">
      <c r="A14" s="1142"/>
      <c r="B14" s="1142"/>
      <c r="C14" s="1142"/>
      <c r="D14" s="1142"/>
      <c r="E14" s="1142"/>
      <c r="F14" s="1142"/>
      <c r="G14" s="1142"/>
      <c r="H14" s="1142"/>
      <c r="I14" s="1142"/>
      <c r="J14" s="1142"/>
      <c r="K14" s="1142"/>
      <c r="L14" s="1142"/>
      <c r="M14" s="1142"/>
      <c r="N14" s="1142"/>
      <c r="O14" s="1142"/>
      <c r="P14" s="1142"/>
      <c r="Q14" s="1142"/>
      <c r="R14" s="1142"/>
      <c r="S14" s="1142"/>
      <c r="T14" s="1142"/>
      <c r="U14" s="1142"/>
      <c r="V14" s="1142"/>
      <c r="W14" s="1142"/>
      <c r="X14" s="1142"/>
      <c r="Y14" s="1142"/>
      <c r="Z14" s="1142"/>
      <c r="AA14" s="1142"/>
      <c r="AB14" s="1142"/>
      <c r="AC14" s="1142"/>
      <c r="AD14" s="1142"/>
      <c r="AE14" s="1142"/>
      <c r="AF14" s="1142"/>
      <c r="AG14" s="1142"/>
      <c r="AH14" s="1142"/>
      <c r="AI14" s="1142"/>
      <c r="AJ14" s="1142"/>
      <c r="AK14" s="621"/>
      <c r="AL14" s="621"/>
      <c r="AM14" s="621"/>
      <c r="AN14" s="621"/>
      <c r="AO14" s="589"/>
      <c r="AP14" s="589"/>
    </row>
    <row r="15" spans="1:42" x14ac:dyDescent="0.2">
      <c r="A15" s="1143"/>
      <c r="B15" s="1143"/>
      <c r="C15" s="1143"/>
      <c r="D15" s="1143"/>
      <c r="E15" s="1143"/>
      <c r="F15" s="1143"/>
      <c r="G15" s="1143"/>
      <c r="H15" s="1143"/>
      <c r="I15" s="1143"/>
      <c r="J15" s="1143"/>
      <c r="K15" s="1143"/>
      <c r="L15" s="1143"/>
      <c r="M15" s="1143"/>
      <c r="N15" s="1143"/>
      <c r="O15" s="1143"/>
      <c r="P15" s="1143"/>
      <c r="Q15" s="1143"/>
      <c r="R15" s="1143"/>
      <c r="S15" s="1143"/>
      <c r="T15" s="1143"/>
      <c r="U15" s="1143"/>
      <c r="V15" s="1143"/>
      <c r="W15" s="1143"/>
      <c r="X15" s="1143"/>
      <c r="Y15" s="1143"/>
      <c r="Z15" s="1143"/>
      <c r="AA15" s="1143"/>
      <c r="AB15" s="1143"/>
      <c r="AC15" s="1143"/>
      <c r="AD15" s="1143"/>
      <c r="AE15" s="1143"/>
      <c r="AF15" s="1143"/>
      <c r="AG15" s="1143"/>
      <c r="AH15" s="1143"/>
      <c r="AI15" s="1143"/>
      <c r="AJ15" s="1143"/>
      <c r="AK15" s="621"/>
      <c r="AL15" s="621"/>
      <c r="AM15" s="621"/>
      <c r="AN15" s="621"/>
      <c r="AO15" s="589"/>
      <c r="AP15" s="589"/>
    </row>
    <row r="16" spans="1:42" x14ac:dyDescent="0.2">
      <c r="A16" s="1143"/>
      <c r="B16" s="1143"/>
      <c r="C16" s="1143"/>
      <c r="D16" s="1143"/>
      <c r="E16" s="1143"/>
      <c r="F16" s="1143"/>
      <c r="G16" s="1143"/>
      <c r="H16" s="1143"/>
      <c r="I16" s="1143"/>
      <c r="J16" s="1143"/>
      <c r="K16" s="1143"/>
      <c r="L16" s="1143"/>
      <c r="M16" s="1143"/>
      <c r="N16" s="1143"/>
      <c r="O16" s="1143"/>
      <c r="P16" s="1143"/>
      <c r="Q16" s="1143"/>
      <c r="R16" s="1143"/>
      <c r="S16" s="1143"/>
      <c r="T16" s="1143"/>
      <c r="U16" s="1143"/>
      <c r="V16" s="1143"/>
      <c r="W16" s="1143"/>
      <c r="X16" s="1143"/>
      <c r="Y16" s="1143"/>
      <c r="Z16" s="1143"/>
      <c r="AA16" s="1143"/>
      <c r="AB16" s="1143"/>
      <c r="AC16" s="1143"/>
      <c r="AD16" s="1143"/>
      <c r="AE16" s="1143"/>
      <c r="AF16" s="1143"/>
      <c r="AG16" s="1143"/>
      <c r="AH16" s="1143"/>
      <c r="AI16" s="1143"/>
      <c r="AJ16" s="1143"/>
      <c r="AK16" s="621"/>
      <c r="AL16" s="621"/>
      <c r="AM16" s="621"/>
      <c r="AN16" s="621"/>
      <c r="AO16" s="589"/>
      <c r="AP16" s="589"/>
    </row>
    <row r="17" spans="1:42" x14ac:dyDescent="0.2">
      <c r="A17" s="1142"/>
      <c r="B17" s="1142"/>
      <c r="C17" s="1142"/>
      <c r="D17" s="1142"/>
      <c r="E17" s="1142"/>
      <c r="F17" s="1142"/>
      <c r="G17" s="1142"/>
      <c r="H17" s="1142"/>
      <c r="I17" s="1142"/>
      <c r="J17" s="1142"/>
      <c r="K17" s="1142"/>
      <c r="L17" s="1142"/>
      <c r="M17" s="1142"/>
      <c r="N17" s="1142"/>
      <c r="O17" s="1142"/>
      <c r="P17" s="1142"/>
      <c r="Q17" s="1142"/>
      <c r="R17" s="1142"/>
      <c r="S17" s="1142"/>
      <c r="T17" s="1142"/>
      <c r="U17" s="1142"/>
      <c r="V17" s="1142"/>
      <c r="W17" s="1142"/>
      <c r="X17" s="1142"/>
      <c r="Y17" s="1142"/>
      <c r="Z17" s="1142"/>
      <c r="AA17" s="1142"/>
      <c r="AB17" s="1142"/>
      <c r="AC17" s="1142"/>
      <c r="AD17" s="1142"/>
      <c r="AE17" s="1142"/>
      <c r="AF17" s="1142"/>
      <c r="AG17" s="1142"/>
      <c r="AH17" s="1142"/>
      <c r="AI17" s="1142"/>
      <c r="AJ17" s="1142"/>
      <c r="AK17" s="621"/>
      <c r="AL17" s="621"/>
      <c r="AM17" s="621"/>
      <c r="AN17" s="621"/>
      <c r="AO17" s="589"/>
      <c r="AP17" s="589"/>
    </row>
    <row r="18" spans="1:42" x14ac:dyDescent="0.2">
      <c r="A18" s="1143"/>
      <c r="B18" s="1143"/>
      <c r="C18" s="1143"/>
      <c r="D18" s="1143"/>
      <c r="E18" s="1143"/>
      <c r="F18" s="1143"/>
      <c r="G18" s="1143"/>
      <c r="H18" s="1143"/>
      <c r="I18" s="1143"/>
      <c r="J18" s="1143"/>
      <c r="K18" s="1143"/>
      <c r="L18" s="1143"/>
      <c r="M18" s="1143"/>
      <c r="N18" s="1143"/>
      <c r="O18" s="1143"/>
      <c r="P18" s="1143"/>
      <c r="Q18" s="1143"/>
      <c r="R18" s="1143"/>
      <c r="S18" s="1143"/>
      <c r="T18" s="1143"/>
      <c r="U18" s="1143"/>
      <c r="V18" s="1143"/>
      <c r="W18" s="1143"/>
      <c r="X18" s="1143"/>
      <c r="Y18" s="1143"/>
      <c r="Z18" s="1143"/>
      <c r="AA18" s="1143"/>
      <c r="AB18" s="1143"/>
      <c r="AC18" s="1143"/>
      <c r="AD18" s="1143"/>
      <c r="AE18" s="1143"/>
      <c r="AF18" s="1143"/>
      <c r="AG18" s="1143"/>
      <c r="AH18" s="1143"/>
      <c r="AI18" s="1143"/>
      <c r="AJ18" s="1143"/>
      <c r="AK18" s="621"/>
      <c r="AL18" s="621"/>
      <c r="AM18" s="621"/>
      <c r="AN18" s="621"/>
      <c r="AO18" s="589"/>
      <c r="AP18" s="589"/>
    </row>
    <row r="19" spans="1:42" x14ac:dyDescent="0.2">
      <c r="A19" s="1143"/>
      <c r="B19" s="1143"/>
      <c r="C19" s="1143"/>
      <c r="D19" s="1143"/>
      <c r="E19" s="1143"/>
      <c r="F19" s="1143"/>
      <c r="G19" s="1143"/>
      <c r="H19" s="1143"/>
      <c r="I19" s="1143"/>
      <c r="J19" s="1143"/>
      <c r="K19" s="1143"/>
      <c r="L19" s="1143"/>
      <c r="M19" s="1143"/>
      <c r="N19" s="1143"/>
      <c r="O19" s="1143"/>
      <c r="P19" s="1143"/>
      <c r="Q19" s="1143"/>
      <c r="R19" s="1143"/>
      <c r="S19" s="1143"/>
      <c r="T19" s="1143"/>
      <c r="U19" s="1143"/>
      <c r="V19" s="1143"/>
      <c r="W19" s="1143"/>
      <c r="X19" s="1143"/>
      <c r="Y19" s="1143"/>
      <c r="Z19" s="1143"/>
      <c r="AA19" s="1143"/>
      <c r="AB19" s="1143"/>
      <c r="AC19" s="1143"/>
      <c r="AD19" s="1143"/>
      <c r="AE19" s="1143"/>
      <c r="AF19" s="1143"/>
      <c r="AG19" s="1143"/>
      <c r="AH19" s="1143"/>
      <c r="AI19" s="1143"/>
      <c r="AJ19" s="1143"/>
      <c r="AK19" s="621"/>
      <c r="AL19" s="621"/>
      <c r="AM19" s="621"/>
      <c r="AN19" s="621"/>
      <c r="AO19" s="589"/>
      <c r="AP19" s="589"/>
    </row>
    <row r="20" spans="1:42" x14ac:dyDescent="0.2">
      <c r="A20" s="589"/>
      <c r="B20" s="589"/>
      <c r="C20" s="589"/>
      <c r="D20" s="589"/>
      <c r="E20" s="589"/>
      <c r="F20" s="589"/>
      <c r="G20" s="622"/>
      <c r="H20" s="622"/>
      <c r="I20" s="622"/>
      <c r="J20" s="622"/>
      <c r="K20" s="622"/>
      <c r="L20" s="622"/>
      <c r="M20" s="622"/>
      <c r="N20" s="622"/>
      <c r="O20" s="622"/>
      <c r="P20" s="622"/>
      <c r="Q20" s="622"/>
      <c r="R20" s="622"/>
      <c r="S20" s="622"/>
      <c r="T20" s="622"/>
      <c r="U20" s="622"/>
      <c r="V20" s="622"/>
      <c r="W20" s="622"/>
      <c r="X20" s="622"/>
      <c r="Y20" s="622"/>
      <c r="Z20" s="622"/>
      <c r="AA20" s="622"/>
      <c r="AB20" s="622"/>
      <c r="AC20" s="622"/>
      <c r="AD20" s="622"/>
      <c r="AE20" s="622"/>
      <c r="AF20" s="622"/>
      <c r="AG20" s="622"/>
      <c r="AH20" s="622"/>
      <c r="AI20" s="622"/>
      <c r="AJ20" s="622"/>
      <c r="AK20" s="621"/>
      <c r="AL20" s="621"/>
      <c r="AM20" s="621"/>
      <c r="AN20" s="621"/>
      <c r="AO20" s="589"/>
      <c r="AP20" s="589"/>
    </row>
    <row r="21" spans="1:42" x14ac:dyDescent="0.2">
      <c r="A21" s="589"/>
      <c r="B21" s="589"/>
      <c r="C21" s="589"/>
      <c r="D21" s="589"/>
      <c r="E21" s="589"/>
      <c r="F21" s="589"/>
      <c r="G21" s="623"/>
      <c r="H21" s="623"/>
      <c r="I21" s="623"/>
      <c r="J21" s="623"/>
      <c r="K21" s="623"/>
      <c r="L21" s="623"/>
      <c r="M21" s="623"/>
      <c r="N21" s="623"/>
      <c r="O21" s="623"/>
      <c r="P21" s="623"/>
      <c r="Q21" s="623"/>
      <c r="R21" s="623"/>
      <c r="S21" s="623"/>
      <c r="T21" s="623"/>
      <c r="U21" s="623"/>
      <c r="V21" s="623"/>
      <c r="W21" s="623"/>
      <c r="X21" s="623"/>
      <c r="Y21" s="623"/>
      <c r="Z21" s="623"/>
      <c r="AA21" s="623"/>
      <c r="AB21" s="623"/>
      <c r="AC21" s="623"/>
      <c r="AD21" s="623"/>
      <c r="AE21" s="623"/>
      <c r="AF21" s="623"/>
      <c r="AG21" s="623"/>
      <c r="AH21" s="623"/>
      <c r="AI21" s="623"/>
      <c r="AJ21" s="623"/>
      <c r="AK21" s="623"/>
      <c r="AL21" s="623"/>
      <c r="AM21" s="623"/>
      <c r="AN21" s="623"/>
      <c r="AO21" s="589"/>
      <c r="AP21" s="589"/>
    </row>
    <row r="22" spans="1:42" x14ac:dyDescent="0.2">
      <c r="A22" s="589"/>
      <c r="B22" s="589"/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89"/>
      <c r="N22" s="589"/>
      <c r="O22" s="589"/>
      <c r="P22" s="589"/>
      <c r="Q22" s="589"/>
      <c r="R22" s="589"/>
      <c r="S22" s="589"/>
      <c r="T22" s="589"/>
      <c r="U22" s="589"/>
      <c r="V22" s="589"/>
      <c r="W22" s="589"/>
      <c r="X22" s="589"/>
      <c r="Y22" s="589"/>
      <c r="Z22" s="589"/>
      <c r="AA22" s="589"/>
      <c r="AB22" s="589"/>
      <c r="AC22" s="589"/>
      <c r="AD22" s="589"/>
      <c r="AE22" s="589"/>
      <c r="AF22" s="589"/>
      <c r="AG22" s="589"/>
      <c r="AH22" s="589"/>
      <c r="AI22" s="589"/>
      <c r="AJ22" s="589"/>
      <c r="AK22" s="589"/>
      <c r="AL22" s="589"/>
      <c r="AM22" s="589"/>
      <c r="AN22" s="589"/>
      <c r="AO22" s="589"/>
      <c r="AP22" s="589"/>
    </row>
  </sheetData>
  <mergeCells count="19">
    <mergeCell ref="A17:AJ17"/>
    <mergeCell ref="A18:AJ18"/>
    <mergeCell ref="A19:AJ19"/>
    <mergeCell ref="F5:F6"/>
    <mergeCell ref="G5:G6"/>
    <mergeCell ref="H5:H6"/>
    <mergeCell ref="A14:AJ14"/>
    <mergeCell ref="A15:AJ15"/>
    <mergeCell ref="A16:AJ16"/>
    <mergeCell ref="A5:A6"/>
    <mergeCell ref="B5:B6"/>
    <mergeCell ref="C5:C6"/>
    <mergeCell ref="D5:D6"/>
    <mergeCell ref="E5:E6"/>
    <mergeCell ref="A1:AN1"/>
    <mergeCell ref="A2:E2"/>
    <mergeCell ref="F2:AN4"/>
    <mergeCell ref="A3:B3"/>
    <mergeCell ref="C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3"/>
  <sheetViews>
    <sheetView workbookViewId="0">
      <selection activeCell="B9" sqref="B9"/>
    </sheetView>
  </sheetViews>
  <sheetFormatPr baseColWidth="10" defaultRowHeight="14.4" x14ac:dyDescent="0.3"/>
  <cols>
    <col min="5" max="5" width="14.6640625" style="626" customWidth="1"/>
    <col min="8" max="8" width="8.44140625" customWidth="1"/>
    <col min="9" max="39" width="2.6640625" bestFit="1" customWidth="1"/>
    <col min="40" max="40" width="10.33203125" customWidth="1"/>
  </cols>
  <sheetData>
    <row r="1" spans="1:42" s="6" customFormat="1" ht="18.600000000000001" x14ac:dyDescent="0.45">
      <c r="A1" s="644" t="s">
        <v>578</v>
      </c>
      <c r="B1" s="645"/>
      <c r="C1" s="646"/>
      <c r="D1" s="647"/>
      <c r="E1" s="648"/>
      <c r="F1" s="649"/>
      <c r="G1" s="1151" t="s">
        <v>193</v>
      </c>
      <c r="H1" s="1152"/>
      <c r="I1" s="1152"/>
      <c r="J1" s="1152"/>
      <c r="K1" s="1152"/>
      <c r="L1" s="1152"/>
      <c r="M1" s="1152"/>
      <c r="N1" s="1152"/>
      <c r="O1" s="1152"/>
      <c r="P1" s="1152"/>
      <c r="Q1" s="1152"/>
      <c r="R1" s="1152"/>
      <c r="S1" s="1152"/>
      <c r="T1" s="1152"/>
      <c r="U1" s="1152"/>
      <c r="V1" s="1152"/>
      <c r="W1" s="1152"/>
      <c r="X1" s="1152"/>
      <c r="Y1" s="1152"/>
      <c r="Z1" s="1152"/>
      <c r="AA1" s="1152"/>
      <c r="AB1" s="1152"/>
      <c r="AC1" s="1152"/>
      <c r="AD1" s="1152"/>
      <c r="AE1" s="1152"/>
      <c r="AF1" s="1152"/>
      <c r="AG1" s="1152"/>
      <c r="AH1" s="1152"/>
      <c r="AI1" s="1152"/>
      <c r="AJ1" s="1152"/>
      <c r="AK1" s="1152"/>
      <c r="AL1" s="1152"/>
      <c r="AM1" s="1152"/>
      <c r="AN1" s="1153"/>
    </row>
    <row r="2" spans="1:42" s="6" customFormat="1" ht="19.2" thickBot="1" x14ac:dyDescent="0.5">
      <c r="A2" s="1154" t="s">
        <v>272</v>
      </c>
      <c r="B2" s="1155"/>
      <c r="C2" s="1155"/>
      <c r="D2" s="1155"/>
      <c r="E2" s="1155"/>
      <c r="F2" s="1155"/>
      <c r="G2" s="1156" t="s">
        <v>4</v>
      </c>
      <c r="H2" s="1157"/>
      <c r="I2" s="1157"/>
      <c r="J2" s="1157"/>
      <c r="K2" s="1157"/>
      <c r="L2" s="1157"/>
      <c r="M2" s="1157"/>
      <c r="N2" s="1157"/>
      <c r="O2" s="1157"/>
      <c r="P2" s="1157"/>
      <c r="Q2" s="1157"/>
      <c r="R2" s="1157"/>
      <c r="S2" s="1157"/>
      <c r="T2" s="1157"/>
      <c r="U2" s="1157"/>
      <c r="V2" s="1157"/>
      <c r="W2" s="1157"/>
      <c r="X2" s="1157"/>
      <c r="Y2" s="1157"/>
      <c r="Z2" s="1157"/>
      <c r="AA2" s="1157"/>
      <c r="AB2" s="1157"/>
      <c r="AC2" s="1157"/>
      <c r="AD2" s="1157"/>
      <c r="AE2" s="1157"/>
      <c r="AF2" s="1157"/>
      <c r="AG2" s="1157"/>
      <c r="AH2" s="1157"/>
      <c r="AI2" s="1157"/>
      <c r="AJ2" s="1157"/>
      <c r="AK2" s="1157"/>
      <c r="AL2" s="1157"/>
      <c r="AM2" s="1157"/>
      <c r="AN2" s="1158"/>
    </row>
    <row r="3" spans="1:42" s="6" customFormat="1" ht="19.2" thickBot="1" x14ac:dyDescent="0.5">
      <c r="A3" s="1159" t="s">
        <v>579</v>
      </c>
      <c r="B3" s="1160"/>
      <c r="C3" s="1160"/>
      <c r="D3" s="1160"/>
      <c r="E3" s="1160"/>
      <c r="F3" s="1160"/>
      <c r="G3" s="1161" t="s">
        <v>580</v>
      </c>
      <c r="H3" s="1162"/>
      <c r="I3" s="1162"/>
      <c r="J3" s="1162"/>
      <c r="K3" s="1162"/>
      <c r="L3" s="1162"/>
      <c r="M3" s="1162"/>
      <c r="N3" s="1162"/>
      <c r="O3" s="1162"/>
      <c r="P3" s="1162"/>
      <c r="Q3" s="1162"/>
      <c r="R3" s="1162"/>
      <c r="S3" s="1162"/>
      <c r="T3" s="1162"/>
      <c r="U3" s="1162"/>
      <c r="V3" s="1162"/>
      <c r="W3" s="1162"/>
      <c r="X3" s="1162"/>
      <c r="Y3" s="1162"/>
      <c r="Z3" s="1162"/>
      <c r="AA3" s="1162"/>
      <c r="AB3" s="1162"/>
      <c r="AC3" s="1162"/>
      <c r="AD3" s="1162"/>
      <c r="AE3" s="1162"/>
      <c r="AF3" s="1162"/>
      <c r="AG3" s="1162"/>
      <c r="AH3" s="1162"/>
      <c r="AI3" s="1162"/>
      <c r="AJ3" s="1162"/>
      <c r="AK3" s="1162"/>
      <c r="AL3" s="1162"/>
      <c r="AM3" s="1162"/>
      <c r="AN3" s="1163"/>
    </row>
    <row r="4" spans="1:42" x14ac:dyDescent="0.3">
      <c r="A4" s="1005" t="s">
        <v>126</v>
      </c>
      <c r="B4" s="1164" t="s">
        <v>7</v>
      </c>
      <c r="C4" s="1166" t="s">
        <v>8</v>
      </c>
      <c r="D4" s="1009" t="s">
        <v>9</v>
      </c>
      <c r="E4" s="1007" t="s">
        <v>10</v>
      </c>
      <c r="F4" s="1170" t="s">
        <v>581</v>
      </c>
      <c r="G4" s="1172" t="s">
        <v>582</v>
      </c>
      <c r="H4" s="1172" t="s">
        <v>130</v>
      </c>
      <c r="I4" s="106">
        <v>1</v>
      </c>
      <c r="J4" s="106">
        <v>2</v>
      </c>
      <c r="K4" s="107">
        <v>3</v>
      </c>
      <c r="L4" s="107">
        <v>4</v>
      </c>
      <c r="M4" s="107">
        <v>5</v>
      </c>
      <c r="N4" s="106">
        <v>6</v>
      </c>
      <c r="O4" s="106">
        <v>7</v>
      </c>
      <c r="P4" s="106">
        <v>8</v>
      </c>
      <c r="Q4" s="106">
        <v>9</v>
      </c>
      <c r="R4" s="107">
        <v>10</v>
      </c>
      <c r="S4" s="107">
        <v>11</v>
      </c>
      <c r="T4" s="107">
        <v>12</v>
      </c>
      <c r="U4" s="107">
        <v>13</v>
      </c>
      <c r="V4" s="107">
        <v>14</v>
      </c>
      <c r="W4" s="106">
        <v>15</v>
      </c>
      <c r="X4" s="106">
        <v>16</v>
      </c>
      <c r="Y4" s="107">
        <v>17</v>
      </c>
      <c r="Z4" s="107">
        <v>18</v>
      </c>
      <c r="AA4" s="107">
        <v>19</v>
      </c>
      <c r="AB4" s="107">
        <v>20</v>
      </c>
      <c r="AC4" s="107">
        <v>21</v>
      </c>
      <c r="AD4" s="106">
        <v>22</v>
      </c>
      <c r="AE4" s="106">
        <v>23</v>
      </c>
      <c r="AF4" s="107">
        <v>24</v>
      </c>
      <c r="AG4" s="107">
        <v>25</v>
      </c>
      <c r="AH4" s="107">
        <v>26</v>
      </c>
      <c r="AI4" s="107">
        <v>27</v>
      </c>
      <c r="AJ4" s="107">
        <v>28</v>
      </c>
      <c r="AK4" s="106">
        <v>29</v>
      </c>
      <c r="AL4" s="106">
        <v>30</v>
      </c>
      <c r="AM4" s="107">
        <v>31</v>
      </c>
      <c r="AN4" s="108" t="s">
        <v>131</v>
      </c>
      <c r="AO4" s="65"/>
      <c r="AP4" s="65"/>
    </row>
    <row r="5" spans="1:42" ht="15" thickBot="1" x14ac:dyDescent="0.35">
      <c r="A5" s="1006"/>
      <c r="B5" s="1165"/>
      <c r="C5" s="1167"/>
      <c r="D5" s="1010"/>
      <c r="E5" s="1008"/>
      <c r="F5" s="1171"/>
      <c r="G5" s="1173"/>
      <c r="H5" s="1173"/>
      <c r="I5" s="109" t="s">
        <v>16</v>
      </c>
      <c r="J5" s="109" t="s">
        <v>17</v>
      </c>
      <c r="K5" s="110" t="s">
        <v>18</v>
      </c>
      <c r="L5" s="110" t="s">
        <v>19</v>
      </c>
      <c r="M5" s="110" t="s">
        <v>19</v>
      </c>
      <c r="N5" s="109" t="s">
        <v>20</v>
      </c>
      <c r="O5" s="109" t="s">
        <v>21</v>
      </c>
      <c r="P5" s="109" t="s">
        <v>16</v>
      </c>
      <c r="Q5" s="109" t="s">
        <v>17</v>
      </c>
      <c r="R5" s="110" t="s">
        <v>18</v>
      </c>
      <c r="S5" s="110" t="s">
        <v>19</v>
      </c>
      <c r="T5" s="110" t="s">
        <v>19</v>
      </c>
      <c r="U5" s="110" t="s">
        <v>20</v>
      </c>
      <c r="V5" s="110" t="s">
        <v>21</v>
      </c>
      <c r="W5" s="109" t="s">
        <v>16</v>
      </c>
      <c r="X5" s="109" t="s">
        <v>17</v>
      </c>
      <c r="Y5" s="110" t="s">
        <v>18</v>
      </c>
      <c r="Z5" s="110" t="s">
        <v>19</v>
      </c>
      <c r="AA5" s="110" t="s">
        <v>19</v>
      </c>
      <c r="AB5" s="110" t="s">
        <v>20</v>
      </c>
      <c r="AC5" s="110" t="s">
        <v>21</v>
      </c>
      <c r="AD5" s="109" t="s">
        <v>16</v>
      </c>
      <c r="AE5" s="109" t="s">
        <v>17</v>
      </c>
      <c r="AF5" s="110" t="s">
        <v>18</v>
      </c>
      <c r="AG5" s="110" t="s">
        <v>19</v>
      </c>
      <c r="AH5" s="110" t="s">
        <v>19</v>
      </c>
      <c r="AI5" s="110" t="s">
        <v>20</v>
      </c>
      <c r="AJ5" s="110" t="s">
        <v>21</v>
      </c>
      <c r="AK5" s="109" t="s">
        <v>16</v>
      </c>
      <c r="AL5" s="109" t="s">
        <v>17</v>
      </c>
      <c r="AM5" s="110" t="s">
        <v>18</v>
      </c>
      <c r="AN5" s="111" t="s">
        <v>583</v>
      </c>
      <c r="AO5" s="65"/>
      <c r="AP5" s="65"/>
    </row>
    <row r="6" spans="1:42" s="630" customFormat="1" ht="17.399999999999999" thickBot="1" x14ac:dyDescent="0.35">
      <c r="A6" s="627" t="s">
        <v>584</v>
      </c>
      <c r="B6" s="628" t="s">
        <v>585</v>
      </c>
      <c r="C6" s="628" t="s">
        <v>399</v>
      </c>
      <c r="D6" s="628" t="s">
        <v>456</v>
      </c>
      <c r="E6" s="624" t="s">
        <v>586</v>
      </c>
      <c r="F6" s="113">
        <v>0.33333333333333331</v>
      </c>
      <c r="G6" s="114" t="s">
        <v>587</v>
      </c>
      <c r="H6" s="629" t="s">
        <v>588</v>
      </c>
      <c r="I6" s="115"/>
      <c r="J6" s="115"/>
      <c r="K6" s="116">
        <v>6</v>
      </c>
      <c r="L6" s="116">
        <v>6</v>
      </c>
      <c r="M6" s="116">
        <v>6</v>
      </c>
      <c r="N6" s="115"/>
      <c r="O6" s="115"/>
      <c r="P6" s="115"/>
      <c r="Q6" s="115"/>
      <c r="R6" s="116">
        <v>6</v>
      </c>
      <c r="S6" s="116">
        <v>6</v>
      </c>
      <c r="T6" s="116">
        <v>6</v>
      </c>
      <c r="U6" s="116">
        <v>6</v>
      </c>
      <c r="V6" s="116">
        <v>6</v>
      </c>
      <c r="W6" s="115"/>
      <c r="X6" s="115"/>
      <c r="Y6" s="116">
        <v>6</v>
      </c>
      <c r="Z6" s="116">
        <v>6</v>
      </c>
      <c r="AA6" s="116">
        <v>6</v>
      </c>
      <c r="AB6" s="116">
        <v>6</v>
      </c>
      <c r="AC6" s="116">
        <v>6</v>
      </c>
      <c r="AD6" s="115"/>
      <c r="AE6" s="115"/>
      <c r="AF6" s="116">
        <v>6</v>
      </c>
      <c r="AG6" s="116">
        <v>6</v>
      </c>
      <c r="AH6" s="116">
        <v>6</v>
      </c>
      <c r="AI6" s="116">
        <v>6</v>
      </c>
      <c r="AJ6" s="116">
        <v>6</v>
      </c>
      <c r="AK6" s="115"/>
      <c r="AL6" s="115"/>
      <c r="AM6" s="116">
        <v>6</v>
      </c>
      <c r="AN6" s="117">
        <f>SUM(I6:AM6)</f>
        <v>114</v>
      </c>
    </row>
    <row r="7" spans="1:42" s="630" customFormat="1" ht="17.399999999999999" thickBot="1" x14ac:dyDescent="0.35">
      <c r="A7" s="631" t="s">
        <v>589</v>
      </c>
      <c r="B7" s="632" t="s">
        <v>590</v>
      </c>
      <c r="C7" s="632" t="s">
        <v>67</v>
      </c>
      <c r="D7" s="632" t="s">
        <v>591</v>
      </c>
      <c r="E7" s="633" t="s">
        <v>592</v>
      </c>
      <c r="F7" s="118" t="s">
        <v>593</v>
      </c>
      <c r="G7" s="119" t="s">
        <v>594</v>
      </c>
      <c r="H7" s="634" t="s">
        <v>595</v>
      </c>
      <c r="I7" s="115"/>
      <c r="J7" s="115"/>
      <c r="K7" s="116">
        <v>6</v>
      </c>
      <c r="L7" s="116">
        <v>6</v>
      </c>
      <c r="M7" s="116">
        <v>6</v>
      </c>
      <c r="N7" s="115"/>
      <c r="O7" s="115"/>
      <c r="P7" s="115"/>
      <c r="Q7" s="115"/>
      <c r="R7" s="116">
        <v>6</v>
      </c>
      <c r="S7" s="116">
        <v>6</v>
      </c>
      <c r="T7" s="116">
        <v>6</v>
      </c>
      <c r="U7" s="116">
        <v>6</v>
      </c>
      <c r="V7" s="116">
        <v>6</v>
      </c>
      <c r="W7" s="115"/>
      <c r="X7" s="115"/>
      <c r="Y7" s="116">
        <v>6</v>
      </c>
      <c r="Z7" s="1148" t="s">
        <v>596</v>
      </c>
      <c r="AA7" s="1149"/>
      <c r="AB7" s="1149"/>
      <c r="AC7" s="1149"/>
      <c r="AD7" s="1149"/>
      <c r="AE7" s="1149"/>
      <c r="AF7" s="1149"/>
      <c r="AG7" s="1149"/>
      <c r="AH7" s="1149"/>
      <c r="AI7" s="1149"/>
      <c r="AJ7" s="1149"/>
      <c r="AK7" s="1149"/>
      <c r="AL7" s="1149"/>
      <c r="AM7" s="1150"/>
      <c r="AN7" s="30">
        <f>SUM(I7:AM7)</f>
        <v>54</v>
      </c>
    </row>
    <row r="8" spans="1:42" s="630" customFormat="1" ht="17.399999999999999" thickBot="1" x14ac:dyDescent="0.35">
      <c r="A8" s="635" t="s">
        <v>597</v>
      </c>
      <c r="B8" s="632" t="s">
        <v>598</v>
      </c>
      <c r="C8" s="632" t="s">
        <v>599</v>
      </c>
      <c r="D8" s="632" t="s">
        <v>287</v>
      </c>
      <c r="E8" s="633" t="s">
        <v>600</v>
      </c>
      <c r="F8" s="118" t="s">
        <v>593</v>
      </c>
      <c r="G8" s="119" t="s">
        <v>594</v>
      </c>
      <c r="H8" s="636" t="s">
        <v>601</v>
      </c>
      <c r="I8" s="115"/>
      <c r="J8" s="115"/>
      <c r="K8" s="116">
        <v>6</v>
      </c>
      <c r="L8" s="116">
        <v>6</v>
      </c>
      <c r="M8" s="116"/>
      <c r="N8" s="115"/>
      <c r="O8" s="115"/>
      <c r="P8" s="115"/>
      <c r="Q8" s="115"/>
      <c r="R8" s="116">
        <v>6</v>
      </c>
      <c r="S8" s="116">
        <v>6</v>
      </c>
      <c r="T8" s="116">
        <v>6</v>
      </c>
      <c r="U8" s="116">
        <v>6</v>
      </c>
      <c r="V8" s="116">
        <v>6</v>
      </c>
      <c r="W8" s="115"/>
      <c r="X8" s="115"/>
      <c r="Y8" s="116">
        <v>6</v>
      </c>
      <c r="Z8" s="116">
        <v>6</v>
      </c>
      <c r="AA8" s="116">
        <v>6</v>
      </c>
      <c r="AB8" s="116">
        <v>6</v>
      </c>
      <c r="AC8" s="116">
        <v>6</v>
      </c>
      <c r="AD8" s="115"/>
      <c r="AE8" s="115"/>
      <c r="AF8" s="116">
        <v>6</v>
      </c>
      <c r="AG8" s="116">
        <v>6</v>
      </c>
      <c r="AH8" s="116">
        <v>6</v>
      </c>
      <c r="AI8" s="116">
        <v>6</v>
      </c>
      <c r="AJ8" s="116"/>
      <c r="AK8" s="115"/>
      <c r="AL8" s="115">
        <v>12</v>
      </c>
      <c r="AM8" s="116">
        <v>6</v>
      </c>
      <c r="AN8" s="30">
        <f>SUM(I8:AM8)</f>
        <v>114</v>
      </c>
    </row>
    <row r="9" spans="1:42" s="630" customFormat="1" ht="34.200000000000003" thickBot="1" x14ac:dyDescent="0.35">
      <c r="A9" s="631" t="s">
        <v>602</v>
      </c>
      <c r="B9" s="632" t="s">
        <v>67</v>
      </c>
      <c r="C9" s="632" t="s">
        <v>603</v>
      </c>
      <c r="D9" s="632" t="s">
        <v>604</v>
      </c>
      <c r="E9" s="633" t="s">
        <v>605</v>
      </c>
      <c r="F9" s="118" t="s">
        <v>593</v>
      </c>
      <c r="G9" s="119" t="s">
        <v>594</v>
      </c>
      <c r="H9" s="636" t="s">
        <v>606</v>
      </c>
      <c r="I9" s="115"/>
      <c r="J9" s="115"/>
      <c r="K9" s="116">
        <v>6</v>
      </c>
      <c r="L9" s="116">
        <v>6</v>
      </c>
      <c r="M9" s="116">
        <v>6</v>
      </c>
      <c r="N9" s="115"/>
      <c r="O9" s="115"/>
      <c r="P9" s="115"/>
      <c r="Q9" s="115"/>
      <c r="R9" s="116">
        <v>6</v>
      </c>
      <c r="S9" s="116">
        <v>6</v>
      </c>
      <c r="T9" s="116">
        <v>6</v>
      </c>
      <c r="U9" s="116">
        <v>6</v>
      </c>
      <c r="V9" s="116">
        <v>6</v>
      </c>
      <c r="W9" s="115"/>
      <c r="X9" s="115"/>
      <c r="Y9" s="116">
        <v>6</v>
      </c>
      <c r="Z9" s="116">
        <v>6</v>
      </c>
      <c r="AA9" s="116">
        <v>6</v>
      </c>
      <c r="AB9" s="116">
        <v>6</v>
      </c>
      <c r="AC9" s="116">
        <v>6</v>
      </c>
      <c r="AD9" s="115"/>
      <c r="AE9" s="115"/>
      <c r="AF9" s="116">
        <v>6</v>
      </c>
      <c r="AG9" s="116">
        <v>6</v>
      </c>
      <c r="AH9" s="116">
        <v>6</v>
      </c>
      <c r="AI9" s="116">
        <v>6</v>
      </c>
      <c r="AJ9" s="116">
        <v>6</v>
      </c>
      <c r="AK9" s="115"/>
      <c r="AL9" s="115"/>
      <c r="AM9" s="116">
        <v>6</v>
      </c>
      <c r="AN9" s="30">
        <f>SUM(I9:AM9)</f>
        <v>114</v>
      </c>
    </row>
    <row r="10" spans="1:42" s="630" customFormat="1" ht="17.399999999999999" thickBot="1" x14ac:dyDescent="0.35">
      <c r="A10" s="631" t="s">
        <v>607</v>
      </c>
      <c r="B10" s="632" t="s">
        <v>432</v>
      </c>
      <c r="C10" s="632" t="s">
        <v>608</v>
      </c>
      <c r="D10" s="632" t="s">
        <v>609</v>
      </c>
      <c r="E10" s="625" t="s">
        <v>610</v>
      </c>
      <c r="F10" s="118" t="s">
        <v>593</v>
      </c>
      <c r="G10" s="119" t="s">
        <v>594</v>
      </c>
      <c r="H10" s="634" t="s">
        <v>611</v>
      </c>
      <c r="I10" s="115"/>
      <c r="J10" s="115"/>
      <c r="K10" s="116">
        <v>6</v>
      </c>
      <c r="L10" s="116">
        <v>6</v>
      </c>
      <c r="M10" s="116">
        <v>6</v>
      </c>
      <c r="N10" s="115"/>
      <c r="O10" s="115"/>
      <c r="P10" s="115"/>
      <c r="Q10" s="115"/>
      <c r="R10" s="116">
        <v>6</v>
      </c>
      <c r="S10" s="116">
        <v>6</v>
      </c>
      <c r="T10" s="116">
        <v>6</v>
      </c>
      <c r="U10" s="116">
        <v>6</v>
      </c>
      <c r="V10" s="116">
        <v>6</v>
      </c>
      <c r="W10" s="115"/>
      <c r="X10" s="115"/>
      <c r="Y10" s="116">
        <v>6</v>
      </c>
      <c r="Z10" s="116">
        <v>6</v>
      </c>
      <c r="AA10" s="116">
        <v>6</v>
      </c>
      <c r="AB10" s="116">
        <v>6</v>
      </c>
      <c r="AC10" s="116">
        <v>6</v>
      </c>
      <c r="AD10" s="115"/>
      <c r="AE10" s="115"/>
      <c r="AF10" s="116">
        <v>6</v>
      </c>
      <c r="AG10" s="116">
        <v>6</v>
      </c>
      <c r="AH10" s="116">
        <v>6</v>
      </c>
      <c r="AI10" s="116">
        <v>6</v>
      </c>
      <c r="AJ10" s="116">
        <v>6</v>
      </c>
      <c r="AK10" s="115"/>
      <c r="AL10" s="115"/>
      <c r="AM10" s="116">
        <v>6</v>
      </c>
      <c r="AN10" s="30">
        <f>SUM(I10:AM10)</f>
        <v>114</v>
      </c>
    </row>
    <row r="11" spans="1:42" s="630" customFormat="1" ht="17.399999999999999" thickBot="1" x14ac:dyDescent="0.35">
      <c r="A11" s="631" t="s">
        <v>612</v>
      </c>
      <c r="B11" s="632" t="s">
        <v>613</v>
      </c>
      <c r="C11" s="632" t="s">
        <v>614</v>
      </c>
      <c r="D11" s="632" t="s">
        <v>615</v>
      </c>
      <c r="E11" s="625" t="s">
        <v>610</v>
      </c>
      <c r="F11" s="118" t="s">
        <v>593</v>
      </c>
      <c r="G11" s="119" t="s">
        <v>594</v>
      </c>
      <c r="H11" s="634" t="s">
        <v>616</v>
      </c>
      <c r="I11" s="115"/>
      <c r="J11" s="115"/>
      <c r="K11" s="116">
        <v>6</v>
      </c>
      <c r="L11" s="116">
        <v>6</v>
      </c>
      <c r="M11" s="116">
        <v>6</v>
      </c>
      <c r="N11" s="115"/>
      <c r="O11" s="115"/>
      <c r="P11" s="115"/>
      <c r="Q11" s="115"/>
      <c r="R11" s="116">
        <v>6</v>
      </c>
      <c r="S11" s="116">
        <v>6</v>
      </c>
      <c r="T11" s="116">
        <v>6</v>
      </c>
      <c r="U11" s="116">
        <v>6</v>
      </c>
      <c r="V11" s="116">
        <v>6</v>
      </c>
      <c r="W11" s="115"/>
      <c r="X11" s="115"/>
      <c r="Y11" s="116">
        <v>6</v>
      </c>
      <c r="Z11" s="116">
        <v>6</v>
      </c>
      <c r="AA11" s="116">
        <v>6</v>
      </c>
      <c r="AB11" s="116">
        <v>6</v>
      </c>
      <c r="AC11" s="116">
        <v>6</v>
      </c>
      <c r="AD11" s="115"/>
      <c r="AE11" s="115"/>
      <c r="AF11" s="116">
        <v>6</v>
      </c>
      <c r="AG11" s="116">
        <v>6</v>
      </c>
      <c r="AH11" s="116">
        <v>6</v>
      </c>
      <c r="AI11" s="116">
        <v>6</v>
      </c>
      <c r="AJ11" s="116">
        <v>6</v>
      </c>
      <c r="AK11" s="115"/>
      <c r="AL11" s="115"/>
      <c r="AM11" s="116">
        <v>6</v>
      </c>
      <c r="AN11" s="30">
        <f>SUM(J11:AM11)</f>
        <v>114</v>
      </c>
    </row>
    <row r="12" spans="1:42" s="630" customFormat="1" ht="17.399999999999999" thickBot="1" x14ac:dyDescent="0.35">
      <c r="A12" s="631" t="s">
        <v>617</v>
      </c>
      <c r="B12" s="632" t="s">
        <v>618</v>
      </c>
      <c r="C12" s="632" t="s">
        <v>310</v>
      </c>
      <c r="D12" s="632" t="s">
        <v>619</v>
      </c>
      <c r="E12" s="633" t="s">
        <v>610</v>
      </c>
      <c r="F12" s="118" t="s">
        <v>593</v>
      </c>
      <c r="G12" s="119" t="s">
        <v>594</v>
      </c>
      <c r="H12" s="634" t="s">
        <v>620</v>
      </c>
      <c r="I12" s="115"/>
      <c r="J12" s="115"/>
      <c r="K12" s="116">
        <v>6</v>
      </c>
      <c r="L12" s="116">
        <v>6</v>
      </c>
      <c r="M12" s="116">
        <v>6</v>
      </c>
      <c r="N12" s="115"/>
      <c r="O12" s="115"/>
      <c r="P12" s="115"/>
      <c r="Q12" s="115"/>
      <c r="R12" s="116">
        <v>6</v>
      </c>
      <c r="S12" s="116">
        <v>6</v>
      </c>
      <c r="T12" s="116">
        <v>6</v>
      </c>
      <c r="U12" s="116">
        <v>6</v>
      </c>
      <c r="V12" s="116">
        <v>6</v>
      </c>
      <c r="W12" s="115"/>
      <c r="X12" s="115"/>
      <c r="Y12" s="116">
        <v>6</v>
      </c>
      <c r="Z12" s="116">
        <v>6</v>
      </c>
      <c r="AA12" s="116">
        <v>6</v>
      </c>
      <c r="AB12" s="116">
        <v>6</v>
      </c>
      <c r="AC12" s="116">
        <v>6</v>
      </c>
      <c r="AD12" s="115"/>
      <c r="AE12" s="115"/>
      <c r="AF12" s="116">
        <v>6</v>
      </c>
      <c r="AG12" s="116">
        <v>6</v>
      </c>
      <c r="AH12" s="116">
        <v>6</v>
      </c>
      <c r="AI12" s="116">
        <v>6</v>
      </c>
      <c r="AJ12" s="116">
        <v>6</v>
      </c>
      <c r="AK12" s="115"/>
      <c r="AL12" s="115"/>
      <c r="AM12" s="116">
        <v>6</v>
      </c>
      <c r="AN12" s="30">
        <f t="shared" ref="AN12:AN34" si="0">SUM(I12:AM12)</f>
        <v>114</v>
      </c>
    </row>
    <row r="13" spans="1:42" s="630" customFormat="1" ht="17.399999999999999" thickBot="1" x14ac:dyDescent="0.35">
      <c r="A13" s="627" t="s">
        <v>621</v>
      </c>
      <c r="B13" s="628" t="s">
        <v>622</v>
      </c>
      <c r="C13" s="628" t="s">
        <v>623</v>
      </c>
      <c r="D13" s="628" t="s">
        <v>624</v>
      </c>
      <c r="E13" s="637" t="s">
        <v>592</v>
      </c>
      <c r="F13" s="114" t="s">
        <v>594</v>
      </c>
      <c r="G13" s="113" t="s">
        <v>625</v>
      </c>
      <c r="H13" s="638" t="s">
        <v>626</v>
      </c>
      <c r="I13" s="115"/>
      <c r="J13" s="115"/>
      <c r="K13" s="116">
        <v>6</v>
      </c>
      <c r="L13" s="116">
        <v>6</v>
      </c>
      <c r="M13" s="116">
        <v>6</v>
      </c>
      <c r="N13" s="115"/>
      <c r="O13" s="115"/>
      <c r="P13" s="115">
        <v>12</v>
      </c>
      <c r="Q13" s="115"/>
      <c r="R13" s="116"/>
      <c r="S13" s="116">
        <v>6</v>
      </c>
      <c r="T13" s="116">
        <v>6</v>
      </c>
      <c r="U13" s="116">
        <v>6</v>
      </c>
      <c r="V13" s="116">
        <v>6</v>
      </c>
      <c r="W13" s="115"/>
      <c r="X13" s="115"/>
      <c r="Y13" s="116"/>
      <c r="Z13" s="116">
        <v>6</v>
      </c>
      <c r="AA13" s="116">
        <v>6</v>
      </c>
      <c r="AB13" s="116">
        <v>6</v>
      </c>
      <c r="AC13" s="116">
        <v>6</v>
      </c>
      <c r="AD13" s="115"/>
      <c r="AE13" s="115"/>
      <c r="AF13" s="116">
        <v>6</v>
      </c>
      <c r="AG13" s="116">
        <v>6</v>
      </c>
      <c r="AH13" s="116">
        <v>6</v>
      </c>
      <c r="AI13" s="116">
        <v>6</v>
      </c>
      <c r="AJ13" s="116">
        <v>6</v>
      </c>
      <c r="AK13" s="115"/>
      <c r="AL13" s="115"/>
      <c r="AM13" s="116">
        <v>6</v>
      </c>
      <c r="AN13" s="30">
        <f t="shared" si="0"/>
        <v>114</v>
      </c>
    </row>
    <row r="14" spans="1:42" s="630" customFormat="1" ht="17.399999999999999" thickBot="1" x14ac:dyDescent="0.35">
      <c r="A14" s="631" t="s">
        <v>627</v>
      </c>
      <c r="B14" s="631" t="s">
        <v>628</v>
      </c>
      <c r="C14" s="631" t="s">
        <v>629</v>
      </c>
      <c r="D14" s="631" t="s">
        <v>630</v>
      </c>
      <c r="E14" s="633" t="s">
        <v>600</v>
      </c>
      <c r="F14" s="119" t="s">
        <v>594</v>
      </c>
      <c r="G14" s="118" t="s">
        <v>625</v>
      </c>
      <c r="H14" s="634" t="s">
        <v>631</v>
      </c>
      <c r="I14" s="115"/>
      <c r="J14" s="115"/>
      <c r="K14" s="116">
        <v>6</v>
      </c>
      <c r="L14" s="116">
        <v>6</v>
      </c>
      <c r="M14" s="116">
        <v>6</v>
      </c>
      <c r="N14" s="115"/>
      <c r="O14" s="115"/>
      <c r="P14" s="115"/>
      <c r="Q14" s="115"/>
      <c r="R14" s="116">
        <v>6</v>
      </c>
      <c r="S14" s="116">
        <v>6</v>
      </c>
      <c r="T14" s="116">
        <v>6</v>
      </c>
      <c r="U14" s="116">
        <v>6</v>
      </c>
      <c r="V14" s="116">
        <v>6</v>
      </c>
      <c r="W14" s="115"/>
      <c r="X14" s="115"/>
      <c r="Y14" s="116">
        <v>6</v>
      </c>
      <c r="Z14" s="1148" t="s">
        <v>596</v>
      </c>
      <c r="AA14" s="1149"/>
      <c r="AB14" s="1149"/>
      <c r="AC14" s="1149"/>
      <c r="AD14" s="1149"/>
      <c r="AE14" s="1149"/>
      <c r="AF14" s="1149"/>
      <c r="AG14" s="1149"/>
      <c r="AH14" s="1149"/>
      <c r="AI14" s="1149"/>
      <c r="AJ14" s="1149"/>
      <c r="AK14" s="1149"/>
      <c r="AL14" s="1149"/>
      <c r="AM14" s="1150"/>
      <c r="AN14" s="30">
        <f t="shared" si="0"/>
        <v>54</v>
      </c>
    </row>
    <row r="15" spans="1:42" s="630" customFormat="1" ht="17.399999999999999" thickBot="1" x14ac:dyDescent="0.35">
      <c r="A15" s="631" t="s">
        <v>632</v>
      </c>
      <c r="B15" s="632" t="s">
        <v>633</v>
      </c>
      <c r="C15" s="632" t="s">
        <v>634</v>
      </c>
      <c r="D15" s="632" t="s">
        <v>635</v>
      </c>
      <c r="E15" s="633" t="s">
        <v>600</v>
      </c>
      <c r="F15" s="119" t="s">
        <v>594</v>
      </c>
      <c r="G15" s="118" t="s">
        <v>625</v>
      </c>
      <c r="H15" s="634" t="s">
        <v>636</v>
      </c>
      <c r="I15" s="115"/>
      <c r="J15" s="115"/>
      <c r="K15" s="116">
        <v>6</v>
      </c>
      <c r="L15" s="116">
        <v>6</v>
      </c>
      <c r="M15" s="116">
        <v>6</v>
      </c>
      <c r="N15" s="115"/>
      <c r="O15" s="115"/>
      <c r="P15" s="115"/>
      <c r="Q15" s="115"/>
      <c r="R15" s="116">
        <v>6</v>
      </c>
      <c r="S15" s="116">
        <v>6</v>
      </c>
      <c r="T15" s="116">
        <v>6</v>
      </c>
      <c r="U15" s="116">
        <v>6</v>
      </c>
      <c r="V15" s="116">
        <v>6</v>
      </c>
      <c r="W15" s="115"/>
      <c r="X15" s="115"/>
      <c r="Y15" s="116">
        <v>6</v>
      </c>
      <c r="Z15" s="116">
        <v>6</v>
      </c>
      <c r="AA15" s="116">
        <v>6</v>
      </c>
      <c r="AB15" s="116">
        <v>6</v>
      </c>
      <c r="AC15" s="116">
        <v>6</v>
      </c>
      <c r="AD15" s="115"/>
      <c r="AE15" s="115"/>
      <c r="AF15" s="116">
        <v>6</v>
      </c>
      <c r="AG15" s="116">
        <v>6</v>
      </c>
      <c r="AH15" s="116">
        <v>6</v>
      </c>
      <c r="AI15" s="116">
        <v>6</v>
      </c>
      <c r="AJ15" s="116">
        <v>6</v>
      </c>
      <c r="AK15" s="115"/>
      <c r="AL15" s="115"/>
      <c r="AM15" s="116">
        <v>6</v>
      </c>
      <c r="AN15" s="30">
        <f t="shared" si="0"/>
        <v>114</v>
      </c>
    </row>
    <row r="16" spans="1:42" s="630" customFormat="1" ht="17.399999999999999" thickBot="1" x14ac:dyDescent="0.35">
      <c r="A16" s="631" t="s">
        <v>637</v>
      </c>
      <c r="B16" s="632" t="s">
        <v>638</v>
      </c>
      <c r="C16" s="632" t="s">
        <v>639</v>
      </c>
      <c r="D16" s="632" t="s">
        <v>640</v>
      </c>
      <c r="E16" s="633" t="s">
        <v>610</v>
      </c>
      <c r="F16" s="119" t="s">
        <v>594</v>
      </c>
      <c r="G16" s="118" t="s">
        <v>625</v>
      </c>
      <c r="H16" s="634" t="s">
        <v>641</v>
      </c>
      <c r="I16" s="115"/>
      <c r="J16" s="115"/>
      <c r="K16" s="116">
        <v>6</v>
      </c>
      <c r="L16" s="116">
        <v>6</v>
      </c>
      <c r="M16" s="116">
        <v>6</v>
      </c>
      <c r="N16" s="115"/>
      <c r="O16" s="115"/>
      <c r="P16" s="115"/>
      <c r="Q16" s="115"/>
      <c r="R16" s="116">
        <v>6</v>
      </c>
      <c r="S16" s="116">
        <v>6</v>
      </c>
      <c r="T16" s="116">
        <v>6</v>
      </c>
      <c r="U16" s="116">
        <v>6</v>
      </c>
      <c r="V16" s="116">
        <v>6</v>
      </c>
      <c r="W16" s="115"/>
      <c r="X16" s="115"/>
      <c r="Y16" s="116">
        <v>6</v>
      </c>
      <c r="Z16" s="116">
        <v>6</v>
      </c>
      <c r="AA16" s="116">
        <v>6</v>
      </c>
      <c r="AB16" s="116">
        <v>6</v>
      </c>
      <c r="AC16" s="116">
        <v>6</v>
      </c>
      <c r="AD16" s="115"/>
      <c r="AE16" s="115"/>
      <c r="AF16" s="116">
        <v>6</v>
      </c>
      <c r="AG16" s="116">
        <v>6</v>
      </c>
      <c r="AH16" s="116">
        <v>6</v>
      </c>
      <c r="AI16" s="116">
        <v>6</v>
      </c>
      <c r="AJ16" s="116">
        <v>6</v>
      </c>
      <c r="AK16" s="115"/>
      <c r="AL16" s="115"/>
      <c r="AM16" s="116">
        <v>6</v>
      </c>
      <c r="AN16" s="30">
        <f t="shared" si="0"/>
        <v>114</v>
      </c>
    </row>
    <row r="17" spans="1:40" s="630" customFormat="1" ht="17.399999999999999" thickBot="1" x14ac:dyDescent="0.35">
      <c r="A17" s="631" t="s">
        <v>642</v>
      </c>
      <c r="B17" s="632" t="s">
        <v>643</v>
      </c>
      <c r="C17" s="632" t="s">
        <v>67</v>
      </c>
      <c r="D17" s="632" t="s">
        <v>644</v>
      </c>
      <c r="E17" s="633" t="s">
        <v>610</v>
      </c>
      <c r="F17" s="119" t="s">
        <v>594</v>
      </c>
      <c r="G17" s="118" t="s">
        <v>625</v>
      </c>
      <c r="H17" s="634" t="s">
        <v>645</v>
      </c>
      <c r="I17" s="115"/>
      <c r="J17" s="115"/>
      <c r="K17" s="116">
        <v>6</v>
      </c>
      <c r="L17" s="116">
        <v>6</v>
      </c>
      <c r="M17" s="116">
        <v>6</v>
      </c>
      <c r="N17" s="115"/>
      <c r="O17" s="115"/>
      <c r="P17" s="115"/>
      <c r="Q17" s="115"/>
      <c r="R17" s="1148" t="s">
        <v>596</v>
      </c>
      <c r="S17" s="1149"/>
      <c r="T17" s="1149"/>
      <c r="U17" s="1149"/>
      <c r="V17" s="1149"/>
      <c r="W17" s="1149"/>
      <c r="X17" s="1149"/>
      <c r="Y17" s="1149"/>
      <c r="Z17" s="1149"/>
      <c r="AA17" s="1149"/>
      <c r="AB17" s="1149"/>
      <c r="AC17" s="1150"/>
      <c r="AD17" s="115"/>
      <c r="AE17" s="115"/>
      <c r="AF17" s="116">
        <v>6</v>
      </c>
      <c r="AG17" s="116">
        <v>6</v>
      </c>
      <c r="AH17" s="116">
        <v>6</v>
      </c>
      <c r="AI17" s="116">
        <v>6</v>
      </c>
      <c r="AJ17" s="116">
        <v>6</v>
      </c>
      <c r="AK17" s="115"/>
      <c r="AL17" s="115"/>
      <c r="AM17" s="116">
        <v>6</v>
      </c>
      <c r="AN17" s="30">
        <f t="shared" si="0"/>
        <v>54</v>
      </c>
    </row>
    <row r="18" spans="1:40" s="630" customFormat="1" ht="17.399999999999999" thickBot="1" x14ac:dyDescent="0.35">
      <c r="A18" s="631" t="s">
        <v>646</v>
      </c>
      <c r="B18" s="632" t="s">
        <v>647</v>
      </c>
      <c r="C18" s="632" t="s">
        <v>648</v>
      </c>
      <c r="D18" s="632" t="s">
        <v>649</v>
      </c>
      <c r="E18" s="633" t="s">
        <v>610</v>
      </c>
      <c r="F18" s="119" t="s">
        <v>594</v>
      </c>
      <c r="G18" s="118" t="s">
        <v>625</v>
      </c>
      <c r="H18" s="634" t="s">
        <v>650</v>
      </c>
      <c r="I18" s="115"/>
      <c r="J18" s="115"/>
      <c r="K18" s="116">
        <v>6</v>
      </c>
      <c r="L18" s="116">
        <v>6</v>
      </c>
      <c r="M18" s="116">
        <v>6</v>
      </c>
      <c r="N18" s="115"/>
      <c r="O18" s="115"/>
      <c r="P18" s="115"/>
      <c r="Q18" s="115"/>
      <c r="R18" s="116">
        <v>6</v>
      </c>
      <c r="S18" s="116">
        <v>6</v>
      </c>
      <c r="T18" s="116">
        <v>6</v>
      </c>
      <c r="U18" s="116">
        <v>6</v>
      </c>
      <c r="V18" s="116">
        <v>6</v>
      </c>
      <c r="W18" s="115"/>
      <c r="X18" s="115"/>
      <c r="Y18" s="116">
        <v>6</v>
      </c>
      <c r="Z18" s="116">
        <v>6</v>
      </c>
      <c r="AA18" s="116">
        <v>6</v>
      </c>
      <c r="AB18" s="116">
        <v>6</v>
      </c>
      <c r="AC18" s="116">
        <v>6</v>
      </c>
      <c r="AD18" s="115"/>
      <c r="AE18" s="115"/>
      <c r="AF18" s="116">
        <v>6</v>
      </c>
      <c r="AG18" s="116">
        <v>6</v>
      </c>
      <c r="AH18" s="116">
        <v>6</v>
      </c>
      <c r="AI18" s="116">
        <v>6</v>
      </c>
      <c r="AJ18" s="116">
        <v>6</v>
      </c>
      <c r="AK18" s="115"/>
      <c r="AL18" s="115"/>
      <c r="AM18" s="116">
        <v>6</v>
      </c>
      <c r="AN18" s="30">
        <f t="shared" si="0"/>
        <v>114</v>
      </c>
    </row>
    <row r="19" spans="1:40" s="630" customFormat="1" ht="34.200000000000003" thickBot="1" x14ac:dyDescent="0.35">
      <c r="A19" s="627" t="s">
        <v>651</v>
      </c>
      <c r="B19" s="628" t="s">
        <v>652</v>
      </c>
      <c r="C19" s="628" t="s">
        <v>653</v>
      </c>
      <c r="D19" s="628" t="s">
        <v>654</v>
      </c>
      <c r="E19" s="637" t="s">
        <v>605</v>
      </c>
      <c r="F19" s="113" t="s">
        <v>625</v>
      </c>
      <c r="G19" s="113" t="s">
        <v>655</v>
      </c>
      <c r="H19" s="638" t="s">
        <v>656</v>
      </c>
      <c r="I19" s="120"/>
      <c r="J19" s="121"/>
      <c r="K19" s="122"/>
      <c r="L19" s="123">
        <v>12</v>
      </c>
      <c r="M19" s="122"/>
      <c r="N19" s="121"/>
      <c r="O19" s="120">
        <v>12</v>
      </c>
      <c r="P19" s="120">
        <v>12</v>
      </c>
      <c r="Q19" s="121"/>
      <c r="R19" s="123">
        <v>12</v>
      </c>
      <c r="S19" s="123"/>
      <c r="T19" s="123"/>
      <c r="U19" s="123">
        <v>12</v>
      </c>
      <c r="V19" s="123"/>
      <c r="W19" s="120"/>
      <c r="X19" s="120">
        <v>12</v>
      </c>
      <c r="Y19" s="123"/>
      <c r="Z19" s="123"/>
      <c r="AA19" s="123">
        <v>12</v>
      </c>
      <c r="AB19" s="123"/>
      <c r="AC19" s="123"/>
      <c r="AD19" s="120">
        <v>12</v>
      </c>
      <c r="AE19" s="121"/>
      <c r="AF19" s="123"/>
      <c r="AG19" s="123">
        <v>12</v>
      </c>
      <c r="AH19" s="123"/>
      <c r="AI19" s="123"/>
      <c r="AJ19" s="123">
        <v>12</v>
      </c>
      <c r="AK19" s="120"/>
      <c r="AL19" s="120"/>
      <c r="AM19" s="116">
        <v>12</v>
      </c>
      <c r="AN19" s="30">
        <f t="shared" si="0"/>
        <v>132</v>
      </c>
    </row>
    <row r="20" spans="1:40" s="630" customFormat="1" ht="17.399999999999999" thickBot="1" x14ac:dyDescent="0.35">
      <c r="A20" s="631" t="s">
        <v>657</v>
      </c>
      <c r="B20" s="639" t="s">
        <v>83</v>
      </c>
      <c r="C20" s="639" t="s">
        <v>658</v>
      </c>
      <c r="D20" s="639" t="s">
        <v>659</v>
      </c>
      <c r="E20" s="633" t="s">
        <v>600</v>
      </c>
      <c r="F20" s="118" t="s">
        <v>625</v>
      </c>
      <c r="G20" s="118" t="s">
        <v>593</v>
      </c>
      <c r="H20" s="634" t="s">
        <v>660</v>
      </c>
      <c r="I20" s="120">
        <v>12</v>
      </c>
      <c r="J20" s="640"/>
      <c r="K20" s="122"/>
      <c r="L20" s="123">
        <v>12</v>
      </c>
      <c r="M20" s="122"/>
      <c r="N20" s="121"/>
      <c r="O20" s="120">
        <v>12</v>
      </c>
      <c r="P20" s="120"/>
      <c r="Q20" s="121"/>
      <c r="R20" s="123">
        <v>12</v>
      </c>
      <c r="S20" s="123"/>
      <c r="T20" s="123"/>
      <c r="U20" s="123">
        <v>12</v>
      </c>
      <c r="V20" s="123"/>
      <c r="W20" s="120"/>
      <c r="X20" s="120">
        <v>12</v>
      </c>
      <c r="Y20" s="123"/>
      <c r="Z20" s="123"/>
      <c r="AA20" s="123">
        <v>12</v>
      </c>
      <c r="AB20" s="123"/>
      <c r="AC20" s="123"/>
      <c r="AD20" s="120">
        <v>12</v>
      </c>
      <c r="AE20" s="121"/>
      <c r="AF20" s="122"/>
      <c r="AG20" s="123">
        <v>12</v>
      </c>
      <c r="AH20" s="123"/>
      <c r="AI20" s="123"/>
      <c r="AJ20" s="123">
        <v>12</v>
      </c>
      <c r="AK20" s="120"/>
      <c r="AL20" s="120"/>
      <c r="AM20" s="116">
        <v>12</v>
      </c>
      <c r="AN20" s="30">
        <f t="shared" si="0"/>
        <v>132</v>
      </c>
    </row>
    <row r="21" spans="1:40" s="630" customFormat="1" ht="17.399999999999999" thickBot="1" x14ac:dyDescent="0.35">
      <c r="A21" s="631" t="s">
        <v>661</v>
      </c>
      <c r="B21" s="632" t="s">
        <v>290</v>
      </c>
      <c r="C21" s="632" t="s">
        <v>662</v>
      </c>
      <c r="D21" s="632" t="s">
        <v>104</v>
      </c>
      <c r="E21" s="633" t="s">
        <v>610</v>
      </c>
      <c r="F21" s="118" t="s">
        <v>625</v>
      </c>
      <c r="G21" s="118" t="s">
        <v>593</v>
      </c>
      <c r="H21" s="634" t="s">
        <v>663</v>
      </c>
      <c r="I21" s="120">
        <v>12</v>
      </c>
      <c r="J21" s="121"/>
      <c r="K21" s="122"/>
      <c r="L21" s="123">
        <v>12</v>
      </c>
      <c r="M21" s="122"/>
      <c r="N21" s="121"/>
      <c r="O21" s="120">
        <v>12</v>
      </c>
      <c r="P21" s="120"/>
      <c r="Q21" s="121"/>
      <c r="R21" s="123">
        <v>12</v>
      </c>
      <c r="S21" s="123"/>
      <c r="T21" s="123"/>
      <c r="U21" s="123">
        <v>12</v>
      </c>
      <c r="V21" s="123"/>
      <c r="W21" s="120"/>
      <c r="X21" s="120">
        <v>12</v>
      </c>
      <c r="Y21" s="123"/>
      <c r="Z21" s="123"/>
      <c r="AA21" s="123">
        <v>12</v>
      </c>
      <c r="AB21" s="123"/>
      <c r="AC21" s="123"/>
      <c r="AD21" s="120">
        <v>12</v>
      </c>
      <c r="AE21" s="121"/>
      <c r="AF21" s="122"/>
      <c r="AG21" s="123">
        <v>12</v>
      </c>
      <c r="AH21" s="123"/>
      <c r="AI21" s="123"/>
      <c r="AJ21" s="123">
        <v>12</v>
      </c>
      <c r="AK21" s="120"/>
      <c r="AL21" s="120"/>
      <c r="AM21" s="116">
        <v>12</v>
      </c>
      <c r="AN21" s="30">
        <f t="shared" si="0"/>
        <v>132</v>
      </c>
    </row>
    <row r="22" spans="1:40" s="630" customFormat="1" ht="17.399999999999999" thickBot="1" x14ac:dyDescent="0.35">
      <c r="A22" s="631" t="s">
        <v>664</v>
      </c>
      <c r="B22" s="632" t="s">
        <v>665</v>
      </c>
      <c r="C22" s="632" t="s">
        <v>666</v>
      </c>
      <c r="D22" s="632" t="s">
        <v>667</v>
      </c>
      <c r="E22" s="633" t="s">
        <v>610</v>
      </c>
      <c r="F22" s="118" t="s">
        <v>625</v>
      </c>
      <c r="G22" s="118" t="s">
        <v>593</v>
      </c>
      <c r="H22" s="634" t="s">
        <v>668</v>
      </c>
      <c r="I22" s="120">
        <v>12</v>
      </c>
      <c r="J22" s="121"/>
      <c r="K22" s="122"/>
      <c r="L22" s="123"/>
      <c r="M22" s="122"/>
      <c r="N22" s="121"/>
      <c r="O22" s="120">
        <v>12</v>
      </c>
      <c r="P22" s="120"/>
      <c r="Q22" s="121">
        <v>12</v>
      </c>
      <c r="R22" s="123">
        <v>12</v>
      </c>
      <c r="S22" s="123"/>
      <c r="T22" s="123"/>
      <c r="U22" s="123">
        <v>12</v>
      </c>
      <c r="V22" s="123"/>
      <c r="W22" s="120"/>
      <c r="X22" s="120">
        <v>12</v>
      </c>
      <c r="Y22" s="123"/>
      <c r="Z22" s="123"/>
      <c r="AA22" s="123">
        <v>12</v>
      </c>
      <c r="AB22" s="123"/>
      <c r="AC22" s="123"/>
      <c r="AD22" s="120">
        <v>12</v>
      </c>
      <c r="AE22" s="121"/>
      <c r="AF22" s="122"/>
      <c r="AG22" s="123">
        <v>12</v>
      </c>
      <c r="AH22" s="123"/>
      <c r="AI22" s="123"/>
      <c r="AJ22" s="123">
        <v>12</v>
      </c>
      <c r="AK22" s="120"/>
      <c r="AL22" s="120"/>
      <c r="AM22" s="116">
        <v>12</v>
      </c>
      <c r="AN22" s="30">
        <f t="shared" si="0"/>
        <v>132</v>
      </c>
    </row>
    <row r="23" spans="1:40" s="630" customFormat="1" ht="34.200000000000003" thickBot="1" x14ac:dyDescent="0.35">
      <c r="A23" s="627" t="s">
        <v>669</v>
      </c>
      <c r="B23" s="627" t="s">
        <v>420</v>
      </c>
      <c r="C23" s="627" t="s">
        <v>670</v>
      </c>
      <c r="D23" s="627" t="s">
        <v>671</v>
      </c>
      <c r="E23" s="637" t="s">
        <v>605</v>
      </c>
      <c r="F23" s="113" t="s">
        <v>625</v>
      </c>
      <c r="G23" s="113" t="s">
        <v>655</v>
      </c>
      <c r="H23" s="638" t="s">
        <v>672</v>
      </c>
      <c r="I23" s="120">
        <v>12</v>
      </c>
      <c r="J23" s="120">
        <v>12</v>
      </c>
      <c r="K23" s="123"/>
      <c r="L23" s="123"/>
      <c r="M23" s="123">
        <v>12</v>
      </c>
      <c r="N23" s="120"/>
      <c r="O23" s="120"/>
      <c r="P23" s="120"/>
      <c r="Q23" s="120"/>
      <c r="R23" s="123"/>
      <c r="S23" s="123">
        <v>12</v>
      </c>
      <c r="T23" s="123"/>
      <c r="U23" s="123"/>
      <c r="V23" s="123">
        <v>12</v>
      </c>
      <c r="W23" s="120"/>
      <c r="X23" s="120"/>
      <c r="Y23" s="123">
        <v>12</v>
      </c>
      <c r="Z23" s="123"/>
      <c r="AA23" s="123"/>
      <c r="AB23" s="123">
        <v>12</v>
      </c>
      <c r="AC23" s="123"/>
      <c r="AD23" s="120"/>
      <c r="AE23" s="120">
        <v>12</v>
      </c>
      <c r="AF23" s="123"/>
      <c r="AG23" s="123"/>
      <c r="AH23" s="123">
        <v>12</v>
      </c>
      <c r="AI23" s="123"/>
      <c r="AJ23" s="123"/>
      <c r="AK23" s="120">
        <v>12</v>
      </c>
      <c r="AL23" s="120"/>
      <c r="AM23" s="116"/>
      <c r="AN23" s="30">
        <f t="shared" si="0"/>
        <v>120</v>
      </c>
    </row>
    <row r="24" spans="1:40" s="630" customFormat="1" ht="17.399999999999999" thickBot="1" x14ac:dyDescent="0.35">
      <c r="A24" s="635" t="s">
        <v>673</v>
      </c>
      <c r="B24" s="635" t="s">
        <v>674</v>
      </c>
      <c r="C24" s="632" t="s">
        <v>675</v>
      </c>
      <c r="D24" s="632" t="s">
        <v>676</v>
      </c>
      <c r="E24" s="633" t="s">
        <v>600</v>
      </c>
      <c r="F24" s="118" t="s">
        <v>625</v>
      </c>
      <c r="G24" s="118" t="s">
        <v>593</v>
      </c>
      <c r="H24" s="636" t="s">
        <v>677</v>
      </c>
      <c r="I24" s="120"/>
      <c r="J24" s="120">
        <v>12</v>
      </c>
      <c r="K24" s="123"/>
      <c r="L24" s="123"/>
      <c r="M24" s="123"/>
      <c r="N24" s="120">
        <v>12</v>
      </c>
      <c r="O24" s="124"/>
      <c r="P24" s="120">
        <v>12</v>
      </c>
      <c r="Q24" s="120"/>
      <c r="R24" s="123"/>
      <c r="S24" s="123">
        <v>12</v>
      </c>
      <c r="T24" s="123"/>
      <c r="U24" s="123"/>
      <c r="V24" s="123">
        <v>12</v>
      </c>
      <c r="W24" s="120"/>
      <c r="X24" s="120"/>
      <c r="Y24" s="123">
        <v>12</v>
      </c>
      <c r="Z24" s="123"/>
      <c r="AA24" s="123"/>
      <c r="AB24" s="123">
        <v>12</v>
      </c>
      <c r="AC24" s="123"/>
      <c r="AD24" s="120"/>
      <c r="AE24" s="120">
        <v>12</v>
      </c>
      <c r="AF24" s="123"/>
      <c r="AG24" s="123"/>
      <c r="AH24" s="123">
        <v>12</v>
      </c>
      <c r="AI24" s="123"/>
      <c r="AJ24" s="123"/>
      <c r="AK24" s="120">
        <v>12</v>
      </c>
      <c r="AL24" s="120"/>
      <c r="AM24" s="116"/>
      <c r="AN24" s="30">
        <f t="shared" si="0"/>
        <v>120</v>
      </c>
    </row>
    <row r="25" spans="1:40" s="630" customFormat="1" ht="17.399999999999999" thickBot="1" x14ac:dyDescent="0.35">
      <c r="A25" s="631" t="s">
        <v>678</v>
      </c>
      <c r="B25" s="632" t="s">
        <v>679</v>
      </c>
      <c r="C25" s="632" t="s">
        <v>680</v>
      </c>
      <c r="D25" s="632" t="s">
        <v>681</v>
      </c>
      <c r="E25" s="625" t="s">
        <v>610</v>
      </c>
      <c r="F25" s="118" t="s">
        <v>625</v>
      </c>
      <c r="G25" s="118" t="s">
        <v>593</v>
      </c>
      <c r="H25" s="634" t="s">
        <v>682</v>
      </c>
      <c r="I25" s="120"/>
      <c r="J25" s="120">
        <v>12</v>
      </c>
      <c r="K25" s="123"/>
      <c r="L25" s="123"/>
      <c r="M25" s="123">
        <v>12</v>
      </c>
      <c r="N25" s="120"/>
      <c r="O25" s="120"/>
      <c r="P25" s="120">
        <v>12</v>
      </c>
      <c r="Q25" s="120"/>
      <c r="R25" s="123"/>
      <c r="S25" s="123">
        <v>12</v>
      </c>
      <c r="T25" s="123"/>
      <c r="U25" s="123"/>
      <c r="V25" s="123">
        <v>12</v>
      </c>
      <c r="W25" s="120"/>
      <c r="X25" s="120"/>
      <c r="Y25" s="123">
        <v>12</v>
      </c>
      <c r="Z25" s="123"/>
      <c r="AA25" s="123"/>
      <c r="AB25" s="123">
        <v>12</v>
      </c>
      <c r="AC25" s="123"/>
      <c r="AD25" s="120"/>
      <c r="AE25" s="120">
        <v>12</v>
      </c>
      <c r="AF25" s="123"/>
      <c r="AG25" s="123"/>
      <c r="AH25" s="123">
        <v>12</v>
      </c>
      <c r="AI25" s="123"/>
      <c r="AJ25" s="123"/>
      <c r="AK25" s="120">
        <v>12</v>
      </c>
      <c r="AL25" s="120"/>
      <c r="AM25" s="116"/>
      <c r="AN25" s="30">
        <f t="shared" si="0"/>
        <v>120</v>
      </c>
    </row>
    <row r="26" spans="1:40" s="630" customFormat="1" ht="17.399999999999999" thickBot="1" x14ac:dyDescent="0.35">
      <c r="A26" s="631" t="s">
        <v>683</v>
      </c>
      <c r="B26" s="632" t="s">
        <v>439</v>
      </c>
      <c r="C26" s="632" t="s">
        <v>299</v>
      </c>
      <c r="D26" s="632" t="s">
        <v>684</v>
      </c>
      <c r="E26" s="633" t="s">
        <v>610</v>
      </c>
      <c r="F26" s="118" t="s">
        <v>625</v>
      </c>
      <c r="G26" s="118" t="s">
        <v>593</v>
      </c>
      <c r="H26" s="636" t="s">
        <v>685</v>
      </c>
      <c r="I26" s="120"/>
      <c r="J26" s="120">
        <v>12</v>
      </c>
      <c r="K26" s="123"/>
      <c r="L26" s="123"/>
      <c r="M26" s="123">
        <v>12</v>
      </c>
      <c r="N26" s="120"/>
      <c r="O26" s="120"/>
      <c r="P26" s="120">
        <v>12</v>
      </c>
      <c r="Q26" s="120"/>
      <c r="R26" s="123"/>
      <c r="S26" s="123">
        <v>12</v>
      </c>
      <c r="T26" s="123"/>
      <c r="U26" s="123"/>
      <c r="V26" s="123">
        <v>12</v>
      </c>
      <c r="W26" s="120"/>
      <c r="X26" s="120"/>
      <c r="Y26" s="123">
        <v>12</v>
      </c>
      <c r="Z26" s="123"/>
      <c r="AA26" s="123"/>
      <c r="AB26" s="123">
        <v>12</v>
      </c>
      <c r="AC26" s="123"/>
      <c r="AD26" s="120"/>
      <c r="AE26" s="120">
        <v>12</v>
      </c>
      <c r="AF26" s="123"/>
      <c r="AG26" s="123"/>
      <c r="AH26" s="123"/>
      <c r="AI26" s="123"/>
      <c r="AJ26" s="123"/>
      <c r="AK26" s="120">
        <v>12</v>
      </c>
      <c r="AL26" s="120">
        <v>12</v>
      </c>
      <c r="AM26" s="116"/>
      <c r="AN26" s="30">
        <f t="shared" si="0"/>
        <v>120</v>
      </c>
    </row>
    <row r="27" spans="1:40" s="630" customFormat="1" ht="34.200000000000003" thickBot="1" x14ac:dyDescent="0.35">
      <c r="A27" s="112" t="s">
        <v>686</v>
      </c>
      <c r="B27" s="112" t="s">
        <v>439</v>
      </c>
      <c r="C27" s="112" t="s">
        <v>687</v>
      </c>
      <c r="D27" s="112" t="s">
        <v>604</v>
      </c>
      <c r="E27" s="637" t="s">
        <v>605</v>
      </c>
      <c r="F27" s="113" t="s">
        <v>625</v>
      </c>
      <c r="G27" s="113" t="s">
        <v>655</v>
      </c>
      <c r="H27" s="638" t="s">
        <v>688</v>
      </c>
      <c r="I27" s="120"/>
      <c r="J27" s="120"/>
      <c r="K27" s="123">
        <v>12</v>
      </c>
      <c r="L27" s="123"/>
      <c r="M27" s="123">
        <v>12</v>
      </c>
      <c r="N27" s="120"/>
      <c r="O27" s="120"/>
      <c r="P27" s="120"/>
      <c r="Q27" s="120">
        <v>12</v>
      </c>
      <c r="R27" s="123"/>
      <c r="S27" s="123"/>
      <c r="T27" s="123">
        <v>12</v>
      </c>
      <c r="U27" s="123"/>
      <c r="V27" s="123"/>
      <c r="W27" s="120">
        <v>12</v>
      </c>
      <c r="X27" s="120"/>
      <c r="Y27" s="123"/>
      <c r="Z27" s="123">
        <v>12</v>
      </c>
      <c r="AA27" s="123"/>
      <c r="AB27" s="123"/>
      <c r="AC27" s="123">
        <v>12</v>
      </c>
      <c r="AD27" s="120"/>
      <c r="AE27" s="120"/>
      <c r="AF27" s="123">
        <v>12</v>
      </c>
      <c r="AG27" s="123"/>
      <c r="AH27" s="123"/>
      <c r="AI27" s="123">
        <v>12</v>
      </c>
      <c r="AJ27" s="123"/>
      <c r="AK27" s="120"/>
      <c r="AL27" s="120">
        <v>12</v>
      </c>
      <c r="AM27" s="116"/>
      <c r="AN27" s="30">
        <f t="shared" si="0"/>
        <v>120</v>
      </c>
    </row>
    <row r="28" spans="1:40" s="630" customFormat="1" ht="17.399999999999999" thickBot="1" x14ac:dyDescent="0.35">
      <c r="A28" s="641" t="s">
        <v>689</v>
      </c>
      <c r="B28" s="642" t="s">
        <v>690</v>
      </c>
      <c r="C28" s="642" t="s">
        <v>536</v>
      </c>
      <c r="D28" s="642" t="s">
        <v>691</v>
      </c>
      <c r="E28" s="633" t="s">
        <v>600</v>
      </c>
      <c r="F28" s="118" t="s">
        <v>625</v>
      </c>
      <c r="G28" s="118" t="s">
        <v>593</v>
      </c>
      <c r="H28" s="643" t="s">
        <v>692</v>
      </c>
      <c r="I28" s="120"/>
      <c r="J28" s="120"/>
      <c r="K28" s="123">
        <v>12</v>
      </c>
      <c r="L28" s="123"/>
      <c r="M28" s="123">
        <v>6</v>
      </c>
      <c r="N28" s="120">
        <v>12</v>
      </c>
      <c r="O28" s="120"/>
      <c r="P28" s="120"/>
      <c r="Q28" s="120">
        <v>12</v>
      </c>
      <c r="R28" s="123"/>
      <c r="S28" s="123"/>
      <c r="T28" s="123">
        <v>12</v>
      </c>
      <c r="U28" s="123"/>
      <c r="V28" s="123"/>
      <c r="W28" s="120">
        <v>12</v>
      </c>
      <c r="X28" s="120"/>
      <c r="Y28" s="123"/>
      <c r="Z28" s="123">
        <v>12</v>
      </c>
      <c r="AA28" s="123"/>
      <c r="AB28" s="123"/>
      <c r="AC28" s="123">
        <v>12</v>
      </c>
      <c r="AD28" s="120"/>
      <c r="AE28" s="120"/>
      <c r="AF28" s="123">
        <v>12</v>
      </c>
      <c r="AG28" s="123"/>
      <c r="AH28" s="123"/>
      <c r="AI28" s="123">
        <v>12</v>
      </c>
      <c r="AJ28" s="123">
        <v>6</v>
      </c>
      <c r="AK28" s="120"/>
      <c r="AL28" s="120"/>
      <c r="AM28" s="116"/>
      <c r="AN28" s="30">
        <f t="shared" si="0"/>
        <v>120</v>
      </c>
    </row>
    <row r="29" spans="1:40" s="630" customFormat="1" ht="17.399999999999999" thickBot="1" x14ac:dyDescent="0.35">
      <c r="A29" s="631" t="s">
        <v>693</v>
      </c>
      <c r="B29" s="632" t="s">
        <v>694</v>
      </c>
      <c r="C29" s="632"/>
      <c r="D29" s="632" t="s">
        <v>695</v>
      </c>
      <c r="E29" s="625" t="s">
        <v>610</v>
      </c>
      <c r="F29" s="118" t="s">
        <v>625</v>
      </c>
      <c r="G29" s="118" t="s">
        <v>593</v>
      </c>
      <c r="H29" s="634" t="s">
        <v>696</v>
      </c>
      <c r="I29" s="120"/>
      <c r="J29" s="120"/>
      <c r="K29" s="123">
        <v>12</v>
      </c>
      <c r="L29" s="123">
        <v>12</v>
      </c>
      <c r="M29" s="123"/>
      <c r="N29" s="120">
        <v>12</v>
      </c>
      <c r="O29" s="120"/>
      <c r="P29" s="120"/>
      <c r="Q29" s="120"/>
      <c r="R29" s="123"/>
      <c r="S29" s="123"/>
      <c r="T29" s="123">
        <v>12</v>
      </c>
      <c r="U29" s="123"/>
      <c r="V29" s="123"/>
      <c r="W29" s="120">
        <v>12</v>
      </c>
      <c r="X29" s="120"/>
      <c r="Y29" s="123"/>
      <c r="Z29" s="123">
        <v>12</v>
      </c>
      <c r="AA29" s="123"/>
      <c r="AB29" s="123"/>
      <c r="AC29" s="123">
        <v>12</v>
      </c>
      <c r="AD29" s="120"/>
      <c r="AE29" s="120"/>
      <c r="AF29" s="123">
        <v>12</v>
      </c>
      <c r="AG29" s="123"/>
      <c r="AH29" s="123"/>
      <c r="AI29" s="123">
        <v>12</v>
      </c>
      <c r="AJ29" s="123"/>
      <c r="AK29" s="120"/>
      <c r="AL29" s="120">
        <v>12</v>
      </c>
      <c r="AM29" s="116"/>
      <c r="AN29" s="30">
        <f t="shared" si="0"/>
        <v>120</v>
      </c>
    </row>
    <row r="30" spans="1:40" s="630" customFormat="1" ht="17.399999999999999" thickBot="1" x14ac:dyDescent="0.35">
      <c r="A30" s="631" t="s">
        <v>697</v>
      </c>
      <c r="B30" s="632" t="s">
        <v>698</v>
      </c>
      <c r="C30" s="632" t="s">
        <v>355</v>
      </c>
      <c r="D30" s="632" t="s">
        <v>699</v>
      </c>
      <c r="E30" s="625" t="s">
        <v>610</v>
      </c>
      <c r="F30" s="118" t="s">
        <v>625</v>
      </c>
      <c r="G30" s="118" t="s">
        <v>593</v>
      </c>
      <c r="H30" s="636" t="s">
        <v>700</v>
      </c>
      <c r="I30" s="120"/>
      <c r="J30" s="120"/>
      <c r="K30" s="123">
        <v>12</v>
      </c>
      <c r="L30" s="123"/>
      <c r="M30" s="123"/>
      <c r="N30" s="120">
        <v>12</v>
      </c>
      <c r="O30" s="120"/>
      <c r="P30" s="120"/>
      <c r="Q30" s="120">
        <v>12</v>
      </c>
      <c r="R30" s="123"/>
      <c r="S30" s="123"/>
      <c r="T30" s="123">
        <v>12</v>
      </c>
      <c r="U30" s="123"/>
      <c r="V30" s="123"/>
      <c r="W30" s="120">
        <v>12</v>
      </c>
      <c r="X30" s="120"/>
      <c r="Y30" s="123"/>
      <c r="Z30" s="123">
        <v>12</v>
      </c>
      <c r="AA30" s="123"/>
      <c r="AB30" s="123"/>
      <c r="AC30" s="123">
        <v>12</v>
      </c>
      <c r="AD30" s="120"/>
      <c r="AE30" s="120"/>
      <c r="AF30" s="123">
        <v>12</v>
      </c>
      <c r="AG30" s="123"/>
      <c r="AH30" s="123">
        <v>12</v>
      </c>
      <c r="AI30" s="123">
        <v>12</v>
      </c>
      <c r="AJ30" s="123"/>
      <c r="AK30" s="120"/>
      <c r="AL30" s="120"/>
      <c r="AM30" s="116"/>
      <c r="AN30" s="30">
        <f t="shared" si="0"/>
        <v>120</v>
      </c>
    </row>
    <row r="31" spans="1:40" s="630" customFormat="1" ht="34.200000000000003" thickBot="1" x14ac:dyDescent="0.35">
      <c r="A31" s="627" t="s">
        <v>701</v>
      </c>
      <c r="B31" s="628" t="s">
        <v>291</v>
      </c>
      <c r="C31" s="628" t="s">
        <v>702</v>
      </c>
      <c r="D31" s="628" t="s">
        <v>703</v>
      </c>
      <c r="E31" s="637" t="s">
        <v>605</v>
      </c>
      <c r="F31" s="113" t="s">
        <v>655</v>
      </c>
      <c r="G31" s="113" t="s">
        <v>625</v>
      </c>
      <c r="H31" s="638" t="s">
        <v>704</v>
      </c>
      <c r="I31" s="120">
        <v>12</v>
      </c>
      <c r="J31" s="120">
        <v>12</v>
      </c>
      <c r="K31" s="123"/>
      <c r="L31" s="123"/>
      <c r="M31" s="123"/>
      <c r="N31" s="120">
        <v>12</v>
      </c>
      <c r="O31" s="120">
        <v>12</v>
      </c>
      <c r="P31" s="120"/>
      <c r="Q31" s="120">
        <v>12</v>
      </c>
      <c r="R31" s="123">
        <v>6</v>
      </c>
      <c r="S31" s="123"/>
      <c r="T31" s="123"/>
      <c r="U31" s="123"/>
      <c r="V31" s="123"/>
      <c r="W31" s="120">
        <v>12</v>
      </c>
      <c r="X31" s="120">
        <v>12</v>
      </c>
      <c r="Y31" s="123">
        <v>6</v>
      </c>
      <c r="Z31" s="123"/>
      <c r="AA31" s="123"/>
      <c r="AB31" s="123"/>
      <c r="AC31" s="123"/>
      <c r="AD31" s="120">
        <v>12</v>
      </c>
      <c r="AE31" s="120">
        <v>12</v>
      </c>
      <c r="AF31" s="123"/>
      <c r="AG31" s="123"/>
      <c r="AH31" s="123"/>
      <c r="AI31" s="123"/>
      <c r="AJ31" s="123"/>
      <c r="AK31" s="120">
        <v>12</v>
      </c>
      <c r="AL31" s="120">
        <v>12</v>
      </c>
      <c r="AM31" s="123"/>
      <c r="AN31" s="30">
        <f t="shared" si="0"/>
        <v>144</v>
      </c>
    </row>
    <row r="32" spans="1:40" s="630" customFormat="1" ht="17.399999999999999" thickBot="1" x14ac:dyDescent="0.35">
      <c r="A32" s="631" t="s">
        <v>705</v>
      </c>
      <c r="B32" s="632" t="s">
        <v>674</v>
      </c>
      <c r="C32" s="632" t="s">
        <v>706</v>
      </c>
      <c r="D32" s="632" t="s">
        <v>707</v>
      </c>
      <c r="E32" s="633" t="s">
        <v>592</v>
      </c>
      <c r="F32" s="118" t="s">
        <v>655</v>
      </c>
      <c r="G32" s="118" t="s">
        <v>625</v>
      </c>
      <c r="H32" s="636" t="s">
        <v>708</v>
      </c>
      <c r="I32" s="120">
        <v>12</v>
      </c>
      <c r="J32" s="120">
        <v>12</v>
      </c>
      <c r="K32" s="123"/>
      <c r="L32" s="123"/>
      <c r="M32" s="123"/>
      <c r="N32" s="120">
        <v>12</v>
      </c>
      <c r="O32" s="120">
        <v>12</v>
      </c>
      <c r="P32" s="120">
        <v>12</v>
      </c>
      <c r="Q32" s="120">
        <v>12</v>
      </c>
      <c r="R32" s="123"/>
      <c r="S32" s="123"/>
      <c r="T32" s="123"/>
      <c r="U32" s="123"/>
      <c r="V32" s="123"/>
      <c r="W32" s="120">
        <v>12</v>
      </c>
      <c r="X32" s="120">
        <v>12</v>
      </c>
      <c r="Y32" s="123"/>
      <c r="Z32" s="123"/>
      <c r="AA32" s="123"/>
      <c r="AB32" s="123"/>
      <c r="AC32" s="123"/>
      <c r="AD32" s="120">
        <v>12</v>
      </c>
      <c r="AE32" s="120">
        <v>12</v>
      </c>
      <c r="AF32" s="123"/>
      <c r="AG32" s="123"/>
      <c r="AH32" s="123"/>
      <c r="AI32" s="123"/>
      <c r="AJ32" s="123"/>
      <c r="AK32" s="120">
        <v>12</v>
      </c>
      <c r="AL32" s="120">
        <v>12</v>
      </c>
      <c r="AM32" s="123"/>
      <c r="AN32" s="30">
        <f t="shared" si="0"/>
        <v>144</v>
      </c>
    </row>
    <row r="33" spans="1:42" s="630" customFormat="1" ht="17.399999999999999" thickBot="1" x14ac:dyDescent="0.35">
      <c r="A33" s="631" t="s">
        <v>709</v>
      </c>
      <c r="B33" s="632" t="s">
        <v>710</v>
      </c>
      <c r="C33" s="632" t="s">
        <v>711</v>
      </c>
      <c r="D33" s="632" t="s">
        <v>712</v>
      </c>
      <c r="E33" s="633" t="s">
        <v>610</v>
      </c>
      <c r="F33" s="118" t="s">
        <v>655</v>
      </c>
      <c r="G33" s="118" t="s">
        <v>625</v>
      </c>
      <c r="H33" s="636" t="s">
        <v>713</v>
      </c>
      <c r="I33" s="120">
        <v>12</v>
      </c>
      <c r="J33" s="120">
        <v>12</v>
      </c>
      <c r="K33" s="123"/>
      <c r="L33" s="123"/>
      <c r="M33" s="123"/>
      <c r="N33" s="120">
        <v>12</v>
      </c>
      <c r="O33" s="120">
        <v>12</v>
      </c>
      <c r="P33" s="120">
        <v>12</v>
      </c>
      <c r="Q33" s="120">
        <v>12</v>
      </c>
      <c r="R33" s="123"/>
      <c r="S33" s="123"/>
      <c r="T33" s="123"/>
      <c r="U33" s="123"/>
      <c r="V33" s="123"/>
      <c r="W33" s="120">
        <v>12</v>
      </c>
      <c r="X33" s="120">
        <v>12</v>
      </c>
      <c r="Y33" s="123"/>
      <c r="Z33" s="123"/>
      <c r="AA33" s="123"/>
      <c r="AB33" s="123"/>
      <c r="AC33" s="123"/>
      <c r="AD33" s="120">
        <v>12</v>
      </c>
      <c r="AE33" s="120">
        <v>12</v>
      </c>
      <c r="AF33" s="123"/>
      <c r="AG33" s="123"/>
      <c r="AH33" s="123"/>
      <c r="AI33" s="123"/>
      <c r="AJ33" s="123"/>
      <c r="AK33" s="120">
        <v>12</v>
      </c>
      <c r="AL33" s="120">
        <v>12</v>
      </c>
      <c r="AM33" s="123"/>
      <c r="AN33" s="30">
        <f t="shared" si="0"/>
        <v>144</v>
      </c>
    </row>
    <row r="34" spans="1:42" s="630" customFormat="1" ht="16.8" x14ac:dyDescent="0.3">
      <c r="A34" s="631" t="s">
        <v>714</v>
      </c>
      <c r="B34" s="632" t="s">
        <v>310</v>
      </c>
      <c r="C34" s="632" t="s">
        <v>715</v>
      </c>
      <c r="D34" s="632" t="s">
        <v>716</v>
      </c>
      <c r="E34" s="633" t="s">
        <v>610</v>
      </c>
      <c r="F34" s="118" t="s">
        <v>655</v>
      </c>
      <c r="G34" s="118" t="s">
        <v>625</v>
      </c>
      <c r="H34" s="634" t="s">
        <v>717</v>
      </c>
      <c r="I34" s="120">
        <v>12</v>
      </c>
      <c r="J34" s="120">
        <v>12</v>
      </c>
      <c r="K34" s="123"/>
      <c r="L34" s="123"/>
      <c r="M34" s="123"/>
      <c r="N34" s="120">
        <v>12</v>
      </c>
      <c r="O34" s="120">
        <v>12</v>
      </c>
      <c r="P34" s="120">
        <v>12</v>
      </c>
      <c r="Q34" s="120">
        <v>12</v>
      </c>
      <c r="R34" s="123"/>
      <c r="S34" s="123"/>
      <c r="T34" s="123"/>
      <c r="U34" s="123"/>
      <c r="V34" s="123"/>
      <c r="W34" s="120">
        <v>12</v>
      </c>
      <c r="X34" s="120">
        <v>12</v>
      </c>
      <c r="Y34" s="123"/>
      <c r="Z34" s="123"/>
      <c r="AA34" s="123"/>
      <c r="AB34" s="123"/>
      <c r="AC34" s="123"/>
      <c r="AD34" s="120">
        <v>12</v>
      </c>
      <c r="AE34" s="120">
        <v>12</v>
      </c>
      <c r="AF34" s="123"/>
      <c r="AG34" s="123"/>
      <c r="AH34" s="123"/>
      <c r="AI34" s="123"/>
      <c r="AJ34" s="123"/>
      <c r="AK34" s="120">
        <v>12</v>
      </c>
      <c r="AL34" s="120">
        <v>12</v>
      </c>
      <c r="AM34" s="123"/>
      <c r="AN34" s="30">
        <f t="shared" si="0"/>
        <v>144</v>
      </c>
    </row>
    <row r="35" spans="1:42" x14ac:dyDescent="0.3">
      <c r="A35" s="1168" t="s">
        <v>718</v>
      </c>
      <c r="B35" s="1168"/>
      <c r="C35" s="1168"/>
      <c r="D35" s="1168"/>
      <c r="E35" s="1168"/>
      <c r="F35" s="1168"/>
      <c r="G35" s="1168"/>
      <c r="H35" s="1168"/>
      <c r="I35" s="1168"/>
      <c r="J35" s="1168"/>
      <c r="K35" s="1168"/>
      <c r="L35" s="1168"/>
      <c r="M35" s="1168"/>
      <c r="N35" s="1168"/>
      <c r="O35" s="1168"/>
      <c r="P35" s="1168"/>
      <c r="Q35" s="1168"/>
      <c r="R35" s="1168"/>
      <c r="S35" s="1168"/>
      <c r="T35" s="1168"/>
      <c r="U35" s="1168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</row>
    <row r="36" spans="1:42" x14ac:dyDescent="0.3">
      <c r="A36" s="1168" t="s">
        <v>719</v>
      </c>
      <c r="B36" s="1168"/>
      <c r="C36" s="1168"/>
      <c r="D36" s="1168"/>
      <c r="E36" s="1168"/>
      <c r="F36" s="1168"/>
      <c r="G36" s="1168"/>
      <c r="H36" s="1168"/>
      <c r="I36" s="1168"/>
      <c r="J36" s="1168"/>
      <c r="K36" s="1168"/>
      <c r="L36" s="1168"/>
      <c r="M36" s="1168"/>
      <c r="N36" s="1168"/>
      <c r="O36" s="1168"/>
      <c r="P36" s="1168"/>
      <c r="Q36" s="1168"/>
      <c r="R36" s="1168"/>
      <c r="S36" s="1168"/>
      <c r="T36" s="1168"/>
      <c r="U36" s="1168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 spans="1:42" x14ac:dyDescent="0.3">
      <c r="A37" s="1169" t="s">
        <v>720</v>
      </c>
      <c r="B37" s="1169"/>
      <c r="C37" s="1169"/>
      <c r="D37" s="1169"/>
      <c r="E37" s="1169"/>
      <c r="F37" s="1169"/>
      <c r="G37" s="1169"/>
      <c r="H37" s="1169"/>
      <c r="I37" s="1169"/>
      <c r="J37" s="1169"/>
      <c r="K37" s="1169"/>
      <c r="L37" s="1169"/>
      <c r="M37" s="1169"/>
      <c r="N37" s="1169"/>
      <c r="O37" s="1169"/>
      <c r="P37" s="1169"/>
      <c r="Q37" s="1169"/>
      <c r="R37" s="1169"/>
      <c r="S37" s="1169"/>
      <c r="T37" s="1169"/>
      <c r="U37" s="1169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</row>
    <row r="38" spans="1:42" x14ac:dyDescent="0.3">
      <c r="A38" s="65"/>
      <c r="B38" s="65"/>
      <c r="C38" s="65"/>
      <c r="D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pans="1:42" x14ac:dyDescent="0.3">
      <c r="A39" s="65"/>
      <c r="B39" s="65"/>
      <c r="C39" s="65"/>
      <c r="D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</row>
    <row r="40" spans="1:42" x14ac:dyDescent="0.3">
      <c r="A40" s="65"/>
      <c r="B40" s="65"/>
      <c r="C40" s="65"/>
      <c r="D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 spans="1:42" x14ac:dyDescent="0.3">
      <c r="A41" s="65"/>
      <c r="B41" s="65"/>
      <c r="C41" s="65"/>
      <c r="D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</row>
    <row r="42" spans="1:42" x14ac:dyDescent="0.3">
      <c r="A42" s="65"/>
      <c r="B42" s="65"/>
      <c r="C42" s="65"/>
      <c r="D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 spans="1:42" x14ac:dyDescent="0.3">
      <c r="A43" s="65"/>
      <c r="B43" s="65"/>
      <c r="C43" s="65"/>
      <c r="D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</row>
    <row r="44" spans="1:42" x14ac:dyDescent="0.3">
      <c r="A44" s="65"/>
      <c r="B44" s="65"/>
      <c r="C44" s="65"/>
      <c r="D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</row>
    <row r="45" spans="1:42" x14ac:dyDescent="0.3">
      <c r="A45" s="65"/>
      <c r="B45" s="65"/>
      <c r="C45" s="65"/>
      <c r="D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</row>
    <row r="46" spans="1:42" x14ac:dyDescent="0.3">
      <c r="A46" s="65"/>
      <c r="B46" s="65"/>
      <c r="C46" s="65"/>
      <c r="D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</row>
    <row r="47" spans="1:42" x14ac:dyDescent="0.3">
      <c r="A47" s="65"/>
      <c r="B47" s="65"/>
      <c r="C47" s="65"/>
      <c r="D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</row>
    <row r="48" spans="1:42" x14ac:dyDescent="0.3">
      <c r="A48" s="65"/>
      <c r="B48" s="65"/>
      <c r="C48" s="65"/>
      <c r="D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</row>
    <row r="49" spans="1:42" x14ac:dyDescent="0.3">
      <c r="A49" s="65"/>
      <c r="B49" s="65"/>
      <c r="C49" s="65"/>
      <c r="D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</row>
    <row r="50" spans="1:42" x14ac:dyDescent="0.3">
      <c r="A50" s="65"/>
      <c r="B50" s="65"/>
      <c r="C50" s="65"/>
      <c r="D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</row>
    <row r="51" spans="1:42" x14ac:dyDescent="0.3">
      <c r="A51" s="65"/>
      <c r="B51" s="65"/>
      <c r="C51" s="65"/>
      <c r="D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</row>
    <row r="52" spans="1:42" x14ac:dyDescent="0.3">
      <c r="A52" s="65"/>
      <c r="B52" s="65"/>
      <c r="C52" s="65"/>
      <c r="D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</row>
    <row r="53" spans="1:42" x14ac:dyDescent="0.3">
      <c r="A53" s="65"/>
      <c r="B53" s="65"/>
      <c r="C53" s="65"/>
      <c r="D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</row>
    <row r="54" spans="1:42" x14ac:dyDescent="0.3">
      <c r="A54" s="65"/>
      <c r="B54" s="65"/>
      <c r="C54" s="65"/>
      <c r="D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 spans="1:42" x14ac:dyDescent="0.3">
      <c r="A55" s="65"/>
      <c r="B55" s="65"/>
      <c r="C55" s="65"/>
      <c r="D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</row>
    <row r="56" spans="1:42" x14ac:dyDescent="0.3">
      <c r="A56" s="65"/>
      <c r="B56" s="65"/>
      <c r="C56" s="65"/>
      <c r="D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</row>
    <row r="57" spans="1:42" x14ac:dyDescent="0.3">
      <c r="A57" s="65"/>
      <c r="B57" s="65"/>
      <c r="C57" s="65"/>
      <c r="D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</row>
    <row r="58" spans="1:42" x14ac:dyDescent="0.3">
      <c r="A58" s="65"/>
      <c r="B58" s="65"/>
      <c r="C58" s="65"/>
      <c r="D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</row>
    <row r="59" spans="1:42" x14ac:dyDescent="0.3">
      <c r="A59" s="65"/>
      <c r="B59" s="65"/>
      <c r="C59" s="65"/>
      <c r="D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</row>
    <row r="60" spans="1:42" x14ac:dyDescent="0.3">
      <c r="A60" s="65"/>
      <c r="B60" s="65"/>
      <c r="C60" s="65"/>
      <c r="D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 spans="1:42" x14ac:dyDescent="0.3">
      <c r="A61" s="65"/>
      <c r="B61" s="65"/>
      <c r="C61" s="65"/>
      <c r="D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</row>
    <row r="62" spans="1:42" x14ac:dyDescent="0.3">
      <c r="A62" s="65"/>
      <c r="B62" s="65"/>
      <c r="C62" s="65"/>
      <c r="D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</row>
    <row r="63" spans="1:42" x14ac:dyDescent="0.3">
      <c r="A63" s="65"/>
      <c r="B63" s="65"/>
      <c r="C63" s="65"/>
      <c r="D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</row>
  </sheetData>
  <mergeCells count="19">
    <mergeCell ref="A35:U35"/>
    <mergeCell ref="A36:U36"/>
    <mergeCell ref="A37:U37"/>
    <mergeCell ref="F4:F5"/>
    <mergeCell ref="G4:G5"/>
    <mergeCell ref="H4:H5"/>
    <mergeCell ref="Z7:AM7"/>
    <mergeCell ref="Z14:AM14"/>
    <mergeCell ref="R17:AC17"/>
    <mergeCell ref="G1:AN1"/>
    <mergeCell ref="A2:F2"/>
    <mergeCell ref="G2:AN2"/>
    <mergeCell ref="A3:F3"/>
    <mergeCell ref="G3:AN3"/>
    <mergeCell ref="A4:A5"/>
    <mergeCell ref="B4:B5"/>
    <mergeCell ref="C4:C5"/>
    <mergeCell ref="D4:D5"/>
    <mergeCell ref="E4:E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3"/>
  <sheetViews>
    <sheetView workbookViewId="0">
      <selection activeCell="D9" sqref="D9"/>
    </sheetView>
  </sheetViews>
  <sheetFormatPr baseColWidth="10" defaultColWidth="11.44140625" defaultRowHeight="13.8" x14ac:dyDescent="0.3"/>
  <cols>
    <col min="1" max="1" width="12.5546875" style="3" customWidth="1"/>
    <col min="2" max="4" width="11.44140625" style="4"/>
    <col min="5" max="5" width="12.5546875" style="4" customWidth="1"/>
    <col min="6" max="6" width="12.109375" style="4" customWidth="1"/>
    <col min="7" max="7" width="10.5546875" style="4" customWidth="1"/>
    <col min="8" max="8" width="9.6640625" style="4" customWidth="1"/>
    <col min="9" max="39" width="3" style="4" bestFit="1" customWidth="1"/>
    <col min="40" max="40" width="11.33203125" style="4" customWidth="1"/>
    <col min="41" max="16384" width="11.44140625" style="4"/>
  </cols>
  <sheetData>
    <row r="1" spans="1:46" ht="14.4" thickBot="1" x14ac:dyDescent="0.35">
      <c r="A1" s="695"/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50"/>
      <c r="AB1" s="650"/>
      <c r="AC1" s="650"/>
      <c r="AD1" s="650"/>
      <c r="AE1" s="651"/>
      <c r="AF1" s="651"/>
      <c r="AG1" s="651"/>
      <c r="AH1" s="651"/>
      <c r="AI1" s="651"/>
      <c r="AJ1" s="651"/>
      <c r="AK1" s="651"/>
      <c r="AL1" s="651"/>
      <c r="AM1" s="651"/>
      <c r="AN1" s="651"/>
      <c r="AO1" s="652"/>
      <c r="AP1" s="650"/>
      <c r="AQ1" s="650"/>
      <c r="AR1" s="650"/>
      <c r="AS1" s="650"/>
      <c r="AT1" s="650"/>
    </row>
    <row r="2" spans="1:46" x14ac:dyDescent="0.3">
      <c r="A2" s="1174" t="s">
        <v>721</v>
      </c>
      <c r="B2" s="1175"/>
      <c r="C2" s="1175"/>
      <c r="D2" s="1175"/>
      <c r="E2" s="1175"/>
      <c r="F2" s="1175"/>
      <c r="G2" s="1178" t="s">
        <v>193</v>
      </c>
      <c r="H2" s="1178"/>
      <c r="I2" s="1178"/>
      <c r="J2" s="1178"/>
      <c r="K2" s="1178"/>
      <c r="L2" s="1178"/>
      <c r="M2" s="1178"/>
      <c r="N2" s="1178"/>
      <c r="O2" s="1178"/>
      <c r="P2" s="1178"/>
      <c r="Q2" s="1178"/>
      <c r="R2" s="1178"/>
      <c r="S2" s="1178"/>
      <c r="T2" s="1178"/>
      <c r="U2" s="1178"/>
      <c r="V2" s="1178"/>
      <c r="W2" s="1178"/>
      <c r="X2" s="1178"/>
      <c r="Y2" s="1178"/>
      <c r="Z2" s="1178"/>
      <c r="AA2" s="1178"/>
      <c r="AB2" s="1178"/>
      <c r="AC2" s="1178"/>
      <c r="AD2" s="1178"/>
      <c r="AE2" s="653"/>
      <c r="AF2" s="654"/>
      <c r="AG2" s="654"/>
      <c r="AH2" s="654"/>
      <c r="AI2" s="654"/>
      <c r="AJ2" s="654"/>
      <c r="AK2" s="654"/>
      <c r="AL2" s="654"/>
      <c r="AM2" s="654"/>
      <c r="AN2" s="654"/>
      <c r="AO2" s="650"/>
      <c r="AP2" s="650"/>
      <c r="AQ2" s="650"/>
      <c r="AR2" s="650"/>
      <c r="AS2" s="650"/>
      <c r="AT2" s="650"/>
    </row>
    <row r="3" spans="1:46" x14ac:dyDescent="0.3">
      <c r="A3" s="1176"/>
      <c r="B3" s="1177"/>
      <c r="C3" s="1177"/>
      <c r="D3" s="1177"/>
      <c r="E3" s="1177"/>
      <c r="F3" s="1177"/>
      <c r="G3" s="1179"/>
      <c r="H3" s="1179"/>
      <c r="I3" s="1179"/>
      <c r="J3" s="1179"/>
      <c r="K3" s="1179"/>
      <c r="L3" s="1179"/>
      <c r="M3" s="1179"/>
      <c r="N3" s="1179"/>
      <c r="O3" s="1179"/>
      <c r="P3" s="1179"/>
      <c r="Q3" s="1179"/>
      <c r="R3" s="1179"/>
      <c r="S3" s="1179"/>
      <c r="T3" s="1179"/>
      <c r="U3" s="1179"/>
      <c r="V3" s="1179"/>
      <c r="W3" s="1179"/>
      <c r="X3" s="1179"/>
      <c r="Y3" s="1179"/>
      <c r="Z3" s="1179"/>
      <c r="AA3" s="1179"/>
      <c r="AB3" s="1179"/>
      <c r="AC3" s="1179"/>
      <c r="AD3" s="1179"/>
      <c r="AE3" s="654"/>
      <c r="AF3" s="654"/>
      <c r="AG3" s="654"/>
      <c r="AH3" s="654"/>
      <c r="AI3" s="654"/>
      <c r="AJ3" s="654"/>
      <c r="AK3" s="654"/>
      <c r="AL3" s="654"/>
      <c r="AM3" s="654"/>
      <c r="AN3" s="654"/>
      <c r="AO3" s="650"/>
      <c r="AP3" s="650"/>
      <c r="AQ3" s="650"/>
      <c r="AR3" s="650"/>
      <c r="AS3" s="650"/>
      <c r="AT3" s="650"/>
    </row>
    <row r="4" spans="1:46" ht="14.4" thickBot="1" x14ac:dyDescent="0.35">
      <c r="A4" s="1180" t="s">
        <v>722</v>
      </c>
      <c r="B4" s="1181"/>
      <c r="C4" s="1181"/>
      <c r="D4" s="1181"/>
      <c r="E4" s="1181"/>
      <c r="F4" s="1181"/>
      <c r="G4" s="1182" t="s">
        <v>723</v>
      </c>
      <c r="H4" s="1182"/>
      <c r="I4" s="1179"/>
      <c r="J4" s="1179"/>
      <c r="K4" s="1179"/>
      <c r="L4" s="1179"/>
      <c r="M4" s="1179"/>
      <c r="N4" s="1179"/>
      <c r="O4" s="1179"/>
      <c r="P4" s="1179"/>
      <c r="Q4" s="1179"/>
      <c r="R4" s="1179"/>
      <c r="S4" s="1179"/>
      <c r="T4" s="1179"/>
      <c r="U4" s="1179"/>
      <c r="V4" s="1179"/>
      <c r="W4" s="1179"/>
      <c r="X4" s="1179"/>
      <c r="Y4" s="1179"/>
      <c r="Z4" s="1179"/>
      <c r="AA4" s="1179"/>
      <c r="AB4" s="1179"/>
      <c r="AC4" s="1179"/>
      <c r="AD4" s="1179"/>
      <c r="AE4" s="653"/>
      <c r="AF4" s="654"/>
      <c r="AG4" s="654"/>
      <c r="AH4" s="654"/>
      <c r="AI4" s="654"/>
      <c r="AJ4" s="654"/>
      <c r="AK4" s="654"/>
      <c r="AL4" s="654"/>
      <c r="AM4" s="654"/>
      <c r="AN4" s="654"/>
      <c r="AO4" s="650"/>
      <c r="AP4" s="650"/>
      <c r="AQ4" s="650"/>
      <c r="AR4" s="650"/>
      <c r="AS4" s="650"/>
      <c r="AT4" s="650"/>
    </row>
    <row r="5" spans="1:46" x14ac:dyDescent="0.3">
      <c r="A5" s="1183" t="s">
        <v>724</v>
      </c>
      <c r="B5" s="1185" t="s">
        <v>725</v>
      </c>
      <c r="C5" s="1185" t="s">
        <v>8</v>
      </c>
      <c r="D5" s="1185" t="s">
        <v>9</v>
      </c>
      <c r="E5" s="1185" t="s">
        <v>10</v>
      </c>
      <c r="F5" s="1187" t="s">
        <v>554</v>
      </c>
      <c r="G5" s="1187" t="s">
        <v>555</v>
      </c>
      <c r="H5" s="1187" t="s">
        <v>12</v>
      </c>
      <c r="I5" s="655">
        <v>1</v>
      </c>
      <c r="J5" s="655">
        <v>2</v>
      </c>
      <c r="K5" s="655">
        <v>3</v>
      </c>
      <c r="L5" s="655">
        <v>4</v>
      </c>
      <c r="M5" s="655">
        <v>5</v>
      </c>
      <c r="N5" s="655">
        <v>6</v>
      </c>
      <c r="O5" s="655">
        <v>7</v>
      </c>
      <c r="P5" s="655">
        <v>8</v>
      </c>
      <c r="Q5" s="655">
        <v>9</v>
      </c>
      <c r="R5" s="655">
        <v>10</v>
      </c>
      <c r="S5" s="655">
        <v>11</v>
      </c>
      <c r="T5" s="655">
        <v>12</v>
      </c>
      <c r="U5" s="655">
        <v>13</v>
      </c>
      <c r="V5" s="655">
        <v>14</v>
      </c>
      <c r="W5" s="655">
        <v>15</v>
      </c>
      <c r="X5" s="655">
        <v>16</v>
      </c>
      <c r="Y5" s="655">
        <v>17</v>
      </c>
      <c r="Z5" s="655">
        <v>18</v>
      </c>
      <c r="AA5" s="655">
        <v>19</v>
      </c>
      <c r="AB5" s="655">
        <v>20</v>
      </c>
      <c r="AC5" s="655">
        <v>21</v>
      </c>
      <c r="AD5" s="655">
        <v>22</v>
      </c>
      <c r="AE5" s="655">
        <v>23</v>
      </c>
      <c r="AF5" s="655">
        <v>24</v>
      </c>
      <c r="AG5" s="655">
        <v>25</v>
      </c>
      <c r="AH5" s="655">
        <v>26</v>
      </c>
      <c r="AI5" s="655">
        <v>27</v>
      </c>
      <c r="AJ5" s="655">
        <v>28</v>
      </c>
      <c r="AK5" s="655">
        <v>29</v>
      </c>
      <c r="AL5" s="655">
        <v>30</v>
      </c>
      <c r="AM5" s="655">
        <v>31</v>
      </c>
      <c r="AN5" s="1189" t="s">
        <v>488</v>
      </c>
      <c r="AO5" s="650"/>
      <c r="AP5" s="650"/>
      <c r="AQ5" s="650"/>
      <c r="AR5" s="650"/>
      <c r="AS5" s="650"/>
      <c r="AT5" s="650"/>
    </row>
    <row r="6" spans="1:46" x14ac:dyDescent="0.3">
      <c r="A6" s="1184"/>
      <c r="B6" s="1186"/>
      <c r="C6" s="1186"/>
      <c r="D6" s="1186"/>
      <c r="E6" s="1186"/>
      <c r="F6" s="1186"/>
      <c r="G6" s="1186"/>
      <c r="H6" s="1186"/>
      <c r="I6" s="655" t="s">
        <v>16</v>
      </c>
      <c r="J6" s="655" t="s">
        <v>17</v>
      </c>
      <c r="K6" s="655" t="s">
        <v>18</v>
      </c>
      <c r="L6" s="655" t="s">
        <v>19</v>
      </c>
      <c r="M6" s="655" t="s">
        <v>19</v>
      </c>
      <c r="N6" s="655" t="s">
        <v>20</v>
      </c>
      <c r="O6" s="655" t="s">
        <v>21</v>
      </c>
      <c r="P6" s="655" t="s">
        <v>16</v>
      </c>
      <c r="Q6" s="655" t="s">
        <v>17</v>
      </c>
      <c r="R6" s="655" t="s">
        <v>18</v>
      </c>
      <c r="S6" s="655" t="s">
        <v>19</v>
      </c>
      <c r="T6" s="655" t="s">
        <v>19</v>
      </c>
      <c r="U6" s="655" t="s">
        <v>20</v>
      </c>
      <c r="V6" s="655" t="s">
        <v>21</v>
      </c>
      <c r="W6" s="655" t="s">
        <v>16</v>
      </c>
      <c r="X6" s="655" t="s">
        <v>17</v>
      </c>
      <c r="Y6" s="655" t="s">
        <v>18</v>
      </c>
      <c r="Z6" s="655" t="s">
        <v>19</v>
      </c>
      <c r="AA6" s="655" t="s">
        <v>19</v>
      </c>
      <c r="AB6" s="655" t="s">
        <v>20</v>
      </c>
      <c r="AC6" s="655" t="s">
        <v>21</v>
      </c>
      <c r="AD6" s="655" t="s">
        <v>16</v>
      </c>
      <c r="AE6" s="655" t="s">
        <v>17</v>
      </c>
      <c r="AF6" s="655" t="s">
        <v>18</v>
      </c>
      <c r="AG6" s="655" t="s">
        <v>19</v>
      </c>
      <c r="AH6" s="655" t="s">
        <v>19</v>
      </c>
      <c r="AI6" s="655" t="s">
        <v>20</v>
      </c>
      <c r="AJ6" s="655" t="s">
        <v>21</v>
      </c>
      <c r="AK6" s="655" t="s">
        <v>16</v>
      </c>
      <c r="AL6" s="655" t="s">
        <v>17</v>
      </c>
      <c r="AM6" s="655" t="s">
        <v>18</v>
      </c>
      <c r="AN6" s="1189"/>
      <c r="AO6" s="650"/>
      <c r="AP6" s="650"/>
      <c r="AQ6" s="650"/>
      <c r="AR6" s="650"/>
      <c r="AS6" s="650"/>
      <c r="AT6" s="650"/>
    </row>
    <row r="7" spans="1:46" ht="27.6" x14ac:dyDescent="0.3">
      <c r="A7" s="696" t="s">
        <v>726</v>
      </c>
      <c r="B7" s="655" t="s">
        <v>727</v>
      </c>
      <c r="C7" s="655" t="s">
        <v>29</v>
      </c>
      <c r="D7" s="656" t="s">
        <v>728</v>
      </c>
      <c r="E7" s="655" t="s">
        <v>26</v>
      </c>
      <c r="F7" s="657">
        <v>0.3125</v>
      </c>
      <c r="G7" s="657" t="s">
        <v>729</v>
      </c>
      <c r="H7" s="658">
        <v>67856542</v>
      </c>
      <c r="I7" s="659"/>
      <c r="J7" s="659"/>
      <c r="K7" s="660">
        <v>6</v>
      </c>
      <c r="L7" s="661">
        <v>6</v>
      </c>
      <c r="M7" s="661">
        <v>6</v>
      </c>
      <c r="N7" s="662"/>
      <c r="O7" s="662"/>
      <c r="P7" s="662"/>
      <c r="Q7" s="662"/>
      <c r="R7" s="660">
        <v>6</v>
      </c>
      <c r="S7" s="660">
        <v>6</v>
      </c>
      <c r="T7" s="660">
        <v>6</v>
      </c>
      <c r="U7" s="660">
        <v>6</v>
      </c>
      <c r="V7" s="660">
        <v>6</v>
      </c>
      <c r="W7" s="662"/>
      <c r="X7" s="662"/>
      <c r="Y7" s="660">
        <v>6</v>
      </c>
      <c r="Z7" s="660">
        <v>6</v>
      </c>
      <c r="AA7" s="660">
        <v>6</v>
      </c>
      <c r="AB7" s="660">
        <v>6</v>
      </c>
      <c r="AC7" s="660">
        <v>6</v>
      </c>
      <c r="AD7" s="662"/>
      <c r="AE7" s="662"/>
      <c r="AF7" s="660">
        <v>6</v>
      </c>
      <c r="AG7" s="660">
        <v>6</v>
      </c>
      <c r="AH7" s="660">
        <v>6</v>
      </c>
      <c r="AI7" s="660">
        <v>6</v>
      </c>
      <c r="AJ7" s="660">
        <v>6</v>
      </c>
      <c r="AK7" s="662"/>
      <c r="AL7" s="662"/>
      <c r="AM7" s="661">
        <v>6</v>
      </c>
      <c r="AN7" s="663">
        <f>SUM(I7:AM7)</f>
        <v>114</v>
      </c>
      <c r="AO7" s="650"/>
      <c r="AP7" s="650"/>
      <c r="AQ7" s="650"/>
      <c r="AR7" s="650"/>
      <c r="AS7" s="650"/>
      <c r="AT7" s="650"/>
    </row>
    <row r="8" spans="1:46" s="697" customFormat="1" ht="41.4" x14ac:dyDescent="0.3">
      <c r="A8" s="664" t="s">
        <v>730</v>
      </c>
      <c r="B8" s="665" t="s">
        <v>731</v>
      </c>
      <c r="C8" s="665" t="s">
        <v>732</v>
      </c>
      <c r="D8" s="665" t="s">
        <v>733</v>
      </c>
      <c r="E8" s="666" t="s">
        <v>734</v>
      </c>
      <c r="F8" s="667">
        <v>0.3125</v>
      </c>
      <c r="G8" s="667" t="s">
        <v>729</v>
      </c>
      <c r="H8" s="668">
        <v>77388893</v>
      </c>
      <c r="I8" s="659"/>
      <c r="J8" s="659"/>
      <c r="K8" s="660">
        <v>6</v>
      </c>
      <c r="L8" s="669" t="s">
        <v>403</v>
      </c>
      <c r="M8" s="669">
        <v>12</v>
      </c>
      <c r="N8" s="662"/>
      <c r="O8" s="662"/>
      <c r="P8" s="662"/>
      <c r="Q8" s="662"/>
      <c r="R8" s="660">
        <v>6</v>
      </c>
      <c r="S8" s="660">
        <v>6</v>
      </c>
      <c r="T8" s="660">
        <v>6</v>
      </c>
      <c r="U8" s="660">
        <v>6</v>
      </c>
      <c r="V8" s="660">
        <v>6</v>
      </c>
      <c r="W8" s="662"/>
      <c r="X8" s="662"/>
      <c r="Y8" s="660">
        <v>6</v>
      </c>
      <c r="Z8" s="660">
        <v>6</v>
      </c>
      <c r="AA8" s="660">
        <v>6</v>
      </c>
      <c r="AB8" s="660">
        <v>6</v>
      </c>
      <c r="AC8" s="660">
        <v>6</v>
      </c>
      <c r="AD8" s="662"/>
      <c r="AE8" s="662"/>
      <c r="AF8" s="660">
        <v>6</v>
      </c>
      <c r="AG8" s="660">
        <v>6</v>
      </c>
      <c r="AH8" s="660">
        <v>6</v>
      </c>
      <c r="AI8" s="660">
        <v>6</v>
      </c>
      <c r="AJ8" s="660">
        <v>6</v>
      </c>
      <c r="AK8" s="662"/>
      <c r="AL8" s="662"/>
      <c r="AM8" s="661">
        <v>6</v>
      </c>
      <c r="AN8" s="663">
        <f t="shared" ref="AN8:AN30" si="0">SUM(I8:AM8)</f>
        <v>114</v>
      </c>
      <c r="AO8" s="650"/>
      <c r="AP8" s="650"/>
      <c r="AQ8" s="650"/>
      <c r="AR8" s="650"/>
      <c r="AS8" s="650"/>
      <c r="AT8" s="650"/>
    </row>
    <row r="9" spans="1:46" s="697" customFormat="1" ht="41.4" x14ac:dyDescent="0.3">
      <c r="A9" s="670" t="s">
        <v>735</v>
      </c>
      <c r="B9" s="665" t="s">
        <v>736</v>
      </c>
      <c r="C9" s="665" t="s">
        <v>737</v>
      </c>
      <c r="D9" s="665" t="s">
        <v>738</v>
      </c>
      <c r="E9" s="666" t="s">
        <v>739</v>
      </c>
      <c r="F9" s="667">
        <v>0.3125</v>
      </c>
      <c r="G9" s="667" t="s">
        <v>729</v>
      </c>
      <c r="H9" s="671">
        <v>72469869</v>
      </c>
      <c r="I9" s="659"/>
      <c r="J9" s="659"/>
      <c r="K9" s="660">
        <v>6</v>
      </c>
      <c r="L9" s="661">
        <v>6</v>
      </c>
      <c r="M9" s="661">
        <v>6</v>
      </c>
      <c r="N9" s="662"/>
      <c r="O9" s="662"/>
      <c r="P9" s="662"/>
      <c r="Q9" s="662"/>
      <c r="R9" s="660">
        <v>6</v>
      </c>
      <c r="S9" s="660">
        <v>6</v>
      </c>
      <c r="T9" s="660">
        <v>6</v>
      </c>
      <c r="U9" s="660">
        <v>6</v>
      </c>
      <c r="V9" s="660">
        <v>6</v>
      </c>
      <c r="W9" s="662"/>
      <c r="X9" s="662"/>
      <c r="Y9" s="660">
        <v>6</v>
      </c>
      <c r="Z9" s="660">
        <v>6</v>
      </c>
      <c r="AA9" s="660">
        <v>6</v>
      </c>
      <c r="AB9" s="660">
        <v>6</v>
      </c>
      <c r="AC9" s="660">
        <v>6</v>
      </c>
      <c r="AD9" s="662"/>
      <c r="AE9" s="662"/>
      <c r="AF9" s="660">
        <v>6</v>
      </c>
      <c r="AG9" s="660">
        <v>6</v>
      </c>
      <c r="AH9" s="660">
        <v>6</v>
      </c>
      <c r="AI9" s="660">
        <v>6</v>
      </c>
      <c r="AJ9" s="660">
        <v>6</v>
      </c>
      <c r="AK9" s="662"/>
      <c r="AL9" s="662"/>
      <c r="AM9" s="661">
        <v>6</v>
      </c>
      <c r="AN9" s="663">
        <f t="shared" si="0"/>
        <v>114</v>
      </c>
      <c r="AO9" s="650"/>
      <c r="AP9" s="650"/>
      <c r="AQ9" s="650"/>
      <c r="AR9" s="650"/>
      <c r="AS9" s="650"/>
      <c r="AT9" s="650"/>
    </row>
    <row r="10" spans="1:46" s="697" customFormat="1" x14ac:dyDescent="0.3">
      <c r="A10" s="673" t="s">
        <v>740</v>
      </c>
      <c r="B10" s="673" t="s">
        <v>299</v>
      </c>
      <c r="C10" s="673" t="s">
        <v>741</v>
      </c>
      <c r="D10" s="673" t="s">
        <v>742</v>
      </c>
      <c r="E10" s="666" t="s">
        <v>743</v>
      </c>
      <c r="F10" s="667">
        <v>0.3125</v>
      </c>
      <c r="G10" s="667" t="s">
        <v>729</v>
      </c>
      <c r="H10" s="674">
        <v>79003881</v>
      </c>
      <c r="I10" s="659"/>
      <c r="J10" s="659"/>
      <c r="K10" s="660">
        <v>6</v>
      </c>
      <c r="L10" s="661">
        <v>6</v>
      </c>
      <c r="M10" s="661">
        <v>6</v>
      </c>
      <c r="N10" s="662"/>
      <c r="O10" s="662"/>
      <c r="P10" s="662"/>
      <c r="Q10" s="662"/>
      <c r="R10" s="660">
        <v>6</v>
      </c>
      <c r="S10" s="660">
        <v>6</v>
      </c>
      <c r="T10" s="660">
        <v>6</v>
      </c>
      <c r="U10" s="660">
        <v>6</v>
      </c>
      <c r="V10" s="660">
        <v>6</v>
      </c>
      <c r="W10" s="662"/>
      <c r="X10" s="662"/>
      <c r="Y10" s="660">
        <v>6</v>
      </c>
      <c r="Z10" s="1190" t="s">
        <v>744</v>
      </c>
      <c r="AA10" s="1191"/>
      <c r="AB10" s="1191"/>
      <c r="AC10" s="1191"/>
      <c r="AD10" s="1191"/>
      <c r="AE10" s="1191"/>
      <c r="AF10" s="1191"/>
      <c r="AG10" s="1191"/>
      <c r="AH10" s="1191"/>
      <c r="AI10" s="1191"/>
      <c r="AJ10" s="1191"/>
      <c r="AK10" s="1191"/>
      <c r="AL10" s="1191"/>
      <c r="AM10" s="1192"/>
      <c r="AN10" s="663">
        <f t="shared" si="0"/>
        <v>54</v>
      </c>
      <c r="AO10" s="650"/>
      <c r="AP10" s="650"/>
      <c r="AQ10" s="650"/>
      <c r="AR10" s="650"/>
      <c r="AS10" s="650"/>
      <c r="AT10" s="650"/>
    </row>
    <row r="11" spans="1:46" s="697" customFormat="1" ht="41.4" x14ac:dyDescent="0.3">
      <c r="A11" s="675" t="s">
        <v>745</v>
      </c>
      <c r="B11" s="676" t="s">
        <v>74</v>
      </c>
      <c r="C11" s="676" t="s">
        <v>373</v>
      </c>
      <c r="D11" s="676" t="s">
        <v>746</v>
      </c>
      <c r="E11" s="677" t="s">
        <v>734</v>
      </c>
      <c r="F11" s="678" t="s">
        <v>729</v>
      </c>
      <c r="G11" s="678" t="s">
        <v>747</v>
      </c>
      <c r="H11" s="679">
        <v>67890480</v>
      </c>
      <c r="I11" s="659"/>
      <c r="J11" s="659"/>
      <c r="K11" s="660">
        <v>6</v>
      </c>
      <c r="L11" s="669">
        <v>12</v>
      </c>
      <c r="M11" s="669" t="s">
        <v>403</v>
      </c>
      <c r="N11" s="662"/>
      <c r="O11" s="662"/>
      <c r="P11" s="662"/>
      <c r="Q11" s="662"/>
      <c r="R11" s="660">
        <v>6</v>
      </c>
      <c r="S11" s="660">
        <v>6</v>
      </c>
      <c r="T11" s="660">
        <v>6</v>
      </c>
      <c r="U11" s="660">
        <v>6</v>
      </c>
      <c r="V11" s="660">
        <v>6</v>
      </c>
      <c r="W11" s="662"/>
      <c r="X11" s="662"/>
      <c r="Y11" s="660">
        <v>6</v>
      </c>
      <c r="Z11" s="660">
        <v>6</v>
      </c>
      <c r="AA11" s="660">
        <v>6</v>
      </c>
      <c r="AB11" s="660">
        <v>6</v>
      </c>
      <c r="AC11" s="660">
        <v>6</v>
      </c>
      <c r="AD11" s="662"/>
      <c r="AE11" s="662"/>
      <c r="AF11" s="660">
        <v>6</v>
      </c>
      <c r="AG11" s="660">
        <v>6</v>
      </c>
      <c r="AH11" s="660">
        <v>6</v>
      </c>
      <c r="AI11" s="660">
        <v>6</v>
      </c>
      <c r="AJ11" s="660">
        <v>6</v>
      </c>
      <c r="AK11" s="662"/>
      <c r="AL11" s="662"/>
      <c r="AM11" s="661">
        <v>6</v>
      </c>
      <c r="AN11" s="663">
        <f t="shared" si="0"/>
        <v>114</v>
      </c>
      <c r="AO11" s="650"/>
      <c r="AP11" s="650"/>
      <c r="AQ11" s="650"/>
      <c r="AR11" s="650"/>
      <c r="AS11" s="650"/>
      <c r="AT11" s="650"/>
    </row>
    <row r="12" spans="1:46" s="697" customFormat="1" ht="27.6" x14ac:dyDescent="0.3">
      <c r="A12" s="670" t="s">
        <v>748</v>
      </c>
      <c r="B12" s="665" t="s">
        <v>727</v>
      </c>
      <c r="C12" s="665" t="s">
        <v>749</v>
      </c>
      <c r="D12" s="665" t="s">
        <v>750</v>
      </c>
      <c r="E12" s="650" t="s">
        <v>739</v>
      </c>
      <c r="F12" s="667" t="s">
        <v>729</v>
      </c>
      <c r="G12" s="667" t="s">
        <v>747</v>
      </c>
      <c r="H12" s="666">
        <v>79883889</v>
      </c>
      <c r="I12" s="659"/>
      <c r="J12" s="659"/>
      <c r="K12" s="660">
        <v>6</v>
      </c>
      <c r="L12" s="661">
        <v>6</v>
      </c>
      <c r="M12" s="661">
        <v>6</v>
      </c>
      <c r="N12" s="662"/>
      <c r="O12" s="662"/>
      <c r="P12" s="662"/>
      <c r="Q12" s="662"/>
      <c r="R12" s="660">
        <v>6</v>
      </c>
      <c r="S12" s="660">
        <v>6</v>
      </c>
      <c r="T12" s="660">
        <v>6</v>
      </c>
      <c r="U12" s="660">
        <v>6</v>
      </c>
      <c r="V12" s="660">
        <v>6</v>
      </c>
      <c r="W12" s="662"/>
      <c r="X12" s="662"/>
      <c r="Y12" s="660">
        <v>6</v>
      </c>
      <c r="Z12" s="660">
        <v>6</v>
      </c>
      <c r="AA12" s="660">
        <v>6</v>
      </c>
      <c r="AB12" s="660">
        <v>6</v>
      </c>
      <c r="AC12" s="660">
        <v>6</v>
      </c>
      <c r="AD12" s="662"/>
      <c r="AE12" s="662"/>
      <c r="AF12" s="660">
        <v>6</v>
      </c>
      <c r="AG12" s="660">
        <v>6</v>
      </c>
      <c r="AH12" s="660">
        <v>6</v>
      </c>
      <c r="AI12" s="660">
        <v>6</v>
      </c>
      <c r="AJ12" s="660">
        <v>6</v>
      </c>
      <c r="AK12" s="662"/>
      <c r="AL12" s="662"/>
      <c r="AM12" s="661">
        <v>6</v>
      </c>
      <c r="AN12" s="663">
        <f t="shared" si="0"/>
        <v>114</v>
      </c>
      <c r="AO12" s="650"/>
      <c r="AP12" s="650"/>
      <c r="AQ12" s="650"/>
      <c r="AR12" s="650"/>
      <c r="AS12" s="650"/>
      <c r="AT12" s="650"/>
    </row>
    <row r="13" spans="1:46" s="697" customFormat="1" x14ac:dyDescent="0.3">
      <c r="A13" s="664" t="s">
        <v>751</v>
      </c>
      <c r="B13" s="665" t="s">
        <v>752</v>
      </c>
      <c r="C13" s="665" t="s">
        <v>753</v>
      </c>
      <c r="D13" s="665" t="s">
        <v>754</v>
      </c>
      <c r="E13" s="666" t="s">
        <v>755</v>
      </c>
      <c r="F13" s="667" t="s">
        <v>729</v>
      </c>
      <c r="G13" s="667" t="s">
        <v>747</v>
      </c>
      <c r="H13" s="650">
        <v>73121224</v>
      </c>
      <c r="I13" s="659"/>
      <c r="J13" s="659"/>
      <c r="K13" s="660">
        <v>6</v>
      </c>
      <c r="L13" s="661">
        <v>6</v>
      </c>
      <c r="M13" s="661">
        <v>6</v>
      </c>
      <c r="N13" s="662"/>
      <c r="O13" s="662"/>
      <c r="P13" s="662"/>
      <c r="Q13" s="662"/>
      <c r="R13" s="660">
        <v>6</v>
      </c>
      <c r="S13" s="660">
        <v>6</v>
      </c>
      <c r="T13" s="660">
        <v>6</v>
      </c>
      <c r="U13" s="660">
        <v>6</v>
      </c>
      <c r="V13" s="660">
        <v>6</v>
      </c>
      <c r="W13" s="662"/>
      <c r="X13" s="662"/>
      <c r="Y13" s="660">
        <v>6</v>
      </c>
      <c r="Z13" s="660">
        <v>6</v>
      </c>
      <c r="AA13" s="660">
        <v>6</v>
      </c>
      <c r="AB13" s="660">
        <v>6</v>
      </c>
      <c r="AC13" s="660">
        <v>6</v>
      </c>
      <c r="AD13" s="662"/>
      <c r="AE13" s="662"/>
      <c r="AF13" s="660">
        <v>6</v>
      </c>
      <c r="AG13" s="660">
        <v>6</v>
      </c>
      <c r="AH13" s="660">
        <v>6</v>
      </c>
      <c r="AI13" s="660">
        <v>6</v>
      </c>
      <c r="AJ13" s="660">
        <v>6</v>
      </c>
      <c r="AK13" s="662"/>
      <c r="AL13" s="662"/>
      <c r="AM13" s="661">
        <v>6</v>
      </c>
      <c r="AN13" s="663">
        <f t="shared" si="0"/>
        <v>114</v>
      </c>
      <c r="AO13" s="650"/>
      <c r="AP13" s="650"/>
      <c r="AQ13" s="650"/>
      <c r="AR13" s="650"/>
      <c r="AS13" s="650"/>
      <c r="AT13" s="650"/>
    </row>
    <row r="14" spans="1:46" s="697" customFormat="1" ht="27.6" x14ac:dyDescent="0.3">
      <c r="A14" s="488" t="s">
        <v>756</v>
      </c>
      <c r="B14" s="665" t="s">
        <v>757</v>
      </c>
      <c r="C14" s="665" t="s">
        <v>758</v>
      </c>
      <c r="D14" s="665" t="s">
        <v>759</v>
      </c>
      <c r="E14" s="650" t="s">
        <v>743</v>
      </c>
      <c r="F14" s="667" t="s">
        <v>729</v>
      </c>
      <c r="G14" s="667" t="s">
        <v>747</v>
      </c>
      <c r="H14" s="671">
        <v>69249251</v>
      </c>
      <c r="I14" s="659"/>
      <c r="J14" s="659"/>
      <c r="K14" s="660">
        <v>6</v>
      </c>
      <c r="L14" s="661">
        <v>6</v>
      </c>
      <c r="M14" s="661">
        <v>6</v>
      </c>
      <c r="N14" s="662"/>
      <c r="O14" s="662"/>
      <c r="P14" s="662"/>
      <c r="Q14" s="662"/>
      <c r="R14" s="660">
        <v>6</v>
      </c>
      <c r="S14" s="660">
        <v>6</v>
      </c>
      <c r="T14" s="660">
        <v>6</v>
      </c>
      <c r="U14" s="660">
        <v>6</v>
      </c>
      <c r="V14" s="660">
        <v>6</v>
      </c>
      <c r="W14" s="662"/>
      <c r="X14" s="662"/>
      <c r="Y14" s="660">
        <v>6</v>
      </c>
      <c r="Z14" s="660">
        <v>6</v>
      </c>
      <c r="AA14" s="660">
        <v>6</v>
      </c>
      <c r="AB14" s="660">
        <v>6</v>
      </c>
      <c r="AC14" s="660">
        <v>6</v>
      </c>
      <c r="AD14" s="662"/>
      <c r="AE14" s="662"/>
      <c r="AF14" s="660">
        <v>6</v>
      </c>
      <c r="AG14" s="660">
        <v>6</v>
      </c>
      <c r="AH14" s="660">
        <v>6</v>
      </c>
      <c r="AI14" s="660">
        <v>6</v>
      </c>
      <c r="AJ14" s="660">
        <v>6</v>
      </c>
      <c r="AK14" s="662"/>
      <c r="AL14" s="662"/>
      <c r="AM14" s="661">
        <v>6</v>
      </c>
      <c r="AN14" s="663">
        <f t="shared" si="0"/>
        <v>114</v>
      </c>
      <c r="AO14" s="650"/>
      <c r="AP14" s="650"/>
      <c r="AQ14" s="650"/>
      <c r="AR14" s="650"/>
      <c r="AS14" s="650"/>
      <c r="AT14" s="650"/>
    </row>
    <row r="15" spans="1:46" s="697" customFormat="1" ht="41.4" x14ac:dyDescent="0.3">
      <c r="A15" s="680" t="s">
        <v>760</v>
      </c>
      <c r="B15" s="676" t="s">
        <v>761</v>
      </c>
      <c r="C15" s="676" t="s">
        <v>55</v>
      </c>
      <c r="D15" s="676" t="s">
        <v>762</v>
      </c>
      <c r="E15" s="677" t="s">
        <v>734</v>
      </c>
      <c r="F15" s="678" t="s">
        <v>747</v>
      </c>
      <c r="G15" s="678">
        <v>0.3125</v>
      </c>
      <c r="H15" s="679">
        <v>79968789</v>
      </c>
      <c r="I15" s="659">
        <v>12</v>
      </c>
      <c r="J15" s="659"/>
      <c r="K15" s="660"/>
      <c r="L15" s="660">
        <v>12</v>
      </c>
      <c r="M15" s="660"/>
      <c r="N15" s="662"/>
      <c r="O15" s="662">
        <v>12</v>
      </c>
      <c r="P15" s="662"/>
      <c r="Q15" s="662"/>
      <c r="R15" s="660">
        <v>12</v>
      </c>
      <c r="S15" s="660"/>
      <c r="T15" s="660"/>
      <c r="U15" s="660">
        <v>12</v>
      </c>
      <c r="V15" s="660"/>
      <c r="W15" s="662"/>
      <c r="X15" s="662">
        <v>12</v>
      </c>
      <c r="Y15" s="660"/>
      <c r="Z15" s="660"/>
      <c r="AA15" s="660">
        <v>12</v>
      </c>
      <c r="AB15" s="660"/>
      <c r="AC15" s="660"/>
      <c r="AD15" s="662">
        <v>12</v>
      </c>
      <c r="AE15" s="662"/>
      <c r="AF15" s="660"/>
      <c r="AG15" s="660">
        <v>12</v>
      </c>
      <c r="AH15" s="660"/>
      <c r="AI15" s="660"/>
      <c r="AJ15" s="681" t="s">
        <v>403</v>
      </c>
      <c r="AK15" s="662"/>
      <c r="AL15" s="681">
        <v>12</v>
      </c>
      <c r="AM15" s="661">
        <v>12</v>
      </c>
      <c r="AN15" s="663">
        <f t="shared" si="0"/>
        <v>132</v>
      </c>
      <c r="AO15" s="650"/>
      <c r="AP15" s="650"/>
      <c r="AQ15" s="650"/>
      <c r="AR15" s="650"/>
      <c r="AS15" s="650"/>
      <c r="AT15" s="650"/>
    </row>
    <row r="16" spans="1:46" s="697" customFormat="1" ht="27.6" x14ac:dyDescent="0.3">
      <c r="A16" s="670" t="s">
        <v>763</v>
      </c>
      <c r="B16" s="665" t="s">
        <v>764</v>
      </c>
      <c r="C16" s="665" t="s">
        <v>765</v>
      </c>
      <c r="D16" s="665" t="s">
        <v>766</v>
      </c>
      <c r="E16" s="650" t="s">
        <v>739</v>
      </c>
      <c r="F16" s="667" t="s">
        <v>747</v>
      </c>
      <c r="G16" s="667" t="s">
        <v>593</v>
      </c>
      <c r="H16" s="666">
        <v>63435595</v>
      </c>
      <c r="I16" s="659">
        <v>12</v>
      </c>
      <c r="J16" s="659"/>
      <c r="K16" s="660"/>
      <c r="L16" s="660">
        <v>12</v>
      </c>
      <c r="M16" s="660"/>
      <c r="N16" s="662"/>
      <c r="O16" s="662">
        <v>12</v>
      </c>
      <c r="P16" s="662"/>
      <c r="Q16" s="662"/>
      <c r="R16" s="660">
        <v>12</v>
      </c>
      <c r="S16" s="660"/>
      <c r="T16" s="660"/>
      <c r="U16" s="660">
        <v>12</v>
      </c>
      <c r="V16" s="660"/>
      <c r="W16" s="662"/>
      <c r="X16" s="662">
        <v>12</v>
      </c>
      <c r="Y16" s="660"/>
      <c r="Z16" s="660"/>
      <c r="AA16" s="660">
        <v>12</v>
      </c>
      <c r="AB16" s="660"/>
      <c r="AC16" s="660"/>
      <c r="AD16" s="662">
        <v>12</v>
      </c>
      <c r="AE16" s="662"/>
      <c r="AF16" s="660"/>
      <c r="AG16" s="660">
        <v>12</v>
      </c>
      <c r="AH16" s="660"/>
      <c r="AI16" s="660"/>
      <c r="AJ16" s="660">
        <v>12</v>
      </c>
      <c r="AK16" s="662"/>
      <c r="AL16" s="662"/>
      <c r="AM16" s="661">
        <v>12</v>
      </c>
      <c r="AN16" s="663">
        <f t="shared" si="0"/>
        <v>132</v>
      </c>
      <c r="AO16" s="650"/>
      <c r="AP16" s="650"/>
      <c r="AQ16" s="650"/>
      <c r="AR16" s="650"/>
      <c r="AS16" s="650"/>
      <c r="AT16" s="650"/>
    </row>
    <row r="17" spans="1:46" s="697" customFormat="1" x14ac:dyDescent="0.3">
      <c r="A17" s="664" t="s">
        <v>767</v>
      </c>
      <c r="B17" s="665" t="s">
        <v>768</v>
      </c>
      <c r="C17" s="665" t="s">
        <v>769</v>
      </c>
      <c r="D17" s="665" t="s">
        <v>770</v>
      </c>
      <c r="E17" s="666" t="s">
        <v>755</v>
      </c>
      <c r="F17" s="667" t="s">
        <v>747</v>
      </c>
      <c r="G17" s="682" t="s">
        <v>771</v>
      </c>
      <c r="H17" s="683">
        <v>73160556</v>
      </c>
      <c r="I17" s="659">
        <v>11</v>
      </c>
      <c r="J17" s="659"/>
      <c r="K17" s="660"/>
      <c r="L17" s="660">
        <v>11</v>
      </c>
      <c r="M17" s="660"/>
      <c r="N17" s="662"/>
      <c r="O17" s="662">
        <v>11</v>
      </c>
      <c r="P17" s="662"/>
      <c r="Q17" s="662"/>
      <c r="R17" s="660">
        <v>11</v>
      </c>
      <c r="S17" s="660"/>
      <c r="T17" s="660"/>
      <c r="U17" s="660">
        <v>11</v>
      </c>
      <c r="V17" s="660"/>
      <c r="W17" s="662"/>
      <c r="X17" s="662">
        <v>11</v>
      </c>
      <c r="Y17" s="660"/>
      <c r="Z17" s="660"/>
      <c r="AA17" s="660">
        <v>11</v>
      </c>
      <c r="AB17" s="660"/>
      <c r="AC17" s="660"/>
      <c r="AD17" s="662">
        <v>11</v>
      </c>
      <c r="AE17" s="662"/>
      <c r="AF17" s="660"/>
      <c r="AG17" s="660">
        <v>11</v>
      </c>
      <c r="AH17" s="660"/>
      <c r="AI17" s="660"/>
      <c r="AJ17" s="660">
        <v>11</v>
      </c>
      <c r="AK17" s="662"/>
      <c r="AL17" s="662"/>
      <c r="AM17" s="661">
        <v>11</v>
      </c>
      <c r="AN17" s="663">
        <f t="shared" si="0"/>
        <v>121</v>
      </c>
      <c r="AO17" s="650"/>
      <c r="AP17" s="650"/>
      <c r="AQ17" s="650"/>
      <c r="AR17" s="650"/>
      <c r="AS17" s="650"/>
      <c r="AT17" s="650"/>
    </row>
    <row r="18" spans="1:46" s="697" customFormat="1" ht="27.6" x14ac:dyDescent="0.3">
      <c r="A18" s="664" t="s">
        <v>772</v>
      </c>
      <c r="B18" s="665" t="s">
        <v>773</v>
      </c>
      <c r="C18" s="665" t="s">
        <v>774</v>
      </c>
      <c r="D18" s="665" t="s">
        <v>775</v>
      </c>
      <c r="E18" s="650" t="s">
        <v>743</v>
      </c>
      <c r="F18" s="667" t="s">
        <v>747</v>
      </c>
      <c r="G18" s="667">
        <v>0.3125</v>
      </c>
      <c r="H18" s="672">
        <v>770512217</v>
      </c>
      <c r="I18" s="659">
        <v>12</v>
      </c>
      <c r="J18" s="659"/>
      <c r="K18" s="660"/>
      <c r="L18" s="660">
        <v>12</v>
      </c>
      <c r="M18" s="660"/>
      <c r="N18" s="662"/>
      <c r="O18" s="662">
        <v>12</v>
      </c>
      <c r="P18" s="662"/>
      <c r="Q18" s="662"/>
      <c r="R18" s="660">
        <v>12</v>
      </c>
      <c r="S18" s="660"/>
      <c r="T18" s="660"/>
      <c r="U18" s="660">
        <v>12</v>
      </c>
      <c r="V18" s="660"/>
      <c r="W18" s="662"/>
      <c r="X18" s="662">
        <v>12</v>
      </c>
      <c r="Y18" s="660"/>
      <c r="Z18" s="660"/>
      <c r="AA18" s="660">
        <v>12</v>
      </c>
      <c r="AB18" s="660"/>
      <c r="AC18" s="660"/>
      <c r="AD18" s="662">
        <v>12</v>
      </c>
      <c r="AE18" s="662"/>
      <c r="AF18" s="660"/>
      <c r="AG18" s="660">
        <v>12</v>
      </c>
      <c r="AH18" s="660"/>
      <c r="AI18" s="660"/>
      <c r="AJ18" s="660">
        <v>12</v>
      </c>
      <c r="AK18" s="662"/>
      <c r="AL18" s="662"/>
      <c r="AM18" s="661">
        <v>12</v>
      </c>
      <c r="AN18" s="663">
        <f t="shared" si="0"/>
        <v>132</v>
      </c>
      <c r="AO18" s="650"/>
      <c r="AP18" s="650"/>
      <c r="AQ18" s="650"/>
      <c r="AR18" s="650"/>
      <c r="AS18" s="650"/>
      <c r="AT18" s="650"/>
    </row>
    <row r="19" spans="1:46" s="697" customFormat="1" ht="41.4" x14ac:dyDescent="0.3">
      <c r="A19" s="684" t="s">
        <v>776</v>
      </c>
      <c r="B19" s="676" t="s">
        <v>777</v>
      </c>
      <c r="C19" s="676" t="s">
        <v>778</v>
      </c>
      <c r="D19" s="676" t="s">
        <v>779</v>
      </c>
      <c r="E19" s="655" t="s">
        <v>734</v>
      </c>
      <c r="F19" s="657" t="s">
        <v>747</v>
      </c>
      <c r="G19" s="657">
        <v>0.3125</v>
      </c>
      <c r="H19" s="685">
        <v>73688363</v>
      </c>
      <c r="I19" s="659"/>
      <c r="J19" s="659">
        <v>12</v>
      </c>
      <c r="K19" s="660"/>
      <c r="L19" s="660"/>
      <c r="M19" s="660">
        <v>12</v>
      </c>
      <c r="N19" s="662"/>
      <c r="O19" s="662"/>
      <c r="P19" s="662">
        <v>12</v>
      </c>
      <c r="Q19" s="662"/>
      <c r="R19" s="660"/>
      <c r="S19" s="660">
        <v>12</v>
      </c>
      <c r="T19" s="660"/>
      <c r="U19" s="660"/>
      <c r="V19" s="660">
        <v>12</v>
      </c>
      <c r="W19" s="662"/>
      <c r="X19" s="662"/>
      <c r="Y19" s="660">
        <v>12</v>
      </c>
      <c r="Z19" s="660"/>
      <c r="AA19" s="660"/>
      <c r="AB19" s="660">
        <v>12</v>
      </c>
      <c r="AC19" s="660"/>
      <c r="AD19" s="662"/>
      <c r="AE19" s="662">
        <v>12</v>
      </c>
      <c r="AF19" s="660"/>
      <c r="AG19" s="660"/>
      <c r="AH19" s="660">
        <v>12</v>
      </c>
      <c r="AI19" s="660"/>
      <c r="AJ19" s="660"/>
      <c r="AK19" s="662">
        <v>12</v>
      </c>
      <c r="AL19" s="662"/>
      <c r="AM19" s="661"/>
      <c r="AN19" s="663">
        <f t="shared" si="0"/>
        <v>120</v>
      </c>
      <c r="AO19" s="650"/>
      <c r="AP19" s="650"/>
      <c r="AQ19" s="650"/>
      <c r="AR19" s="650"/>
      <c r="AS19" s="650"/>
      <c r="AT19" s="650"/>
    </row>
    <row r="20" spans="1:46" s="697" customFormat="1" ht="27.6" x14ac:dyDescent="0.3">
      <c r="A20" s="670" t="s">
        <v>780</v>
      </c>
      <c r="B20" s="665" t="s">
        <v>781</v>
      </c>
      <c r="C20" s="665" t="s">
        <v>438</v>
      </c>
      <c r="D20" s="665" t="s">
        <v>782</v>
      </c>
      <c r="E20" s="650" t="s">
        <v>739</v>
      </c>
      <c r="F20" s="667" t="s">
        <v>747</v>
      </c>
      <c r="G20" s="667">
        <v>0.3125</v>
      </c>
      <c r="H20" s="666">
        <v>77049176</v>
      </c>
      <c r="I20" s="659"/>
      <c r="J20" s="659">
        <v>12</v>
      </c>
      <c r="K20" s="660"/>
      <c r="L20" s="660"/>
      <c r="M20" s="660">
        <v>12</v>
      </c>
      <c r="N20" s="662"/>
      <c r="O20" s="662"/>
      <c r="P20" s="662">
        <v>12</v>
      </c>
      <c r="Q20" s="662"/>
      <c r="R20" s="660"/>
      <c r="S20" s="660">
        <v>12</v>
      </c>
      <c r="T20" s="660"/>
      <c r="U20" s="660"/>
      <c r="V20" s="660">
        <v>12</v>
      </c>
      <c r="W20" s="662"/>
      <c r="X20" s="662"/>
      <c r="Y20" s="1190" t="s">
        <v>744</v>
      </c>
      <c r="Z20" s="1191"/>
      <c r="AA20" s="1191"/>
      <c r="AB20" s="1191"/>
      <c r="AC20" s="1191"/>
      <c r="AD20" s="1191"/>
      <c r="AE20" s="1191"/>
      <c r="AF20" s="1191"/>
      <c r="AG20" s="1191"/>
      <c r="AH20" s="1191"/>
      <c r="AI20" s="1191"/>
      <c r="AJ20" s="1191"/>
      <c r="AK20" s="1192"/>
      <c r="AL20" s="686"/>
      <c r="AM20" s="687"/>
      <c r="AN20" s="663">
        <f t="shared" si="0"/>
        <v>60</v>
      </c>
      <c r="AO20" s="650"/>
      <c r="AP20" s="650"/>
      <c r="AQ20" s="650"/>
      <c r="AR20" s="650"/>
      <c r="AS20" s="650"/>
      <c r="AT20" s="650"/>
    </row>
    <row r="21" spans="1:46" s="697" customFormat="1" x14ac:dyDescent="0.3">
      <c r="A21" s="688" t="s">
        <v>783</v>
      </c>
      <c r="B21" s="689" t="s">
        <v>55</v>
      </c>
      <c r="C21" s="689" t="s">
        <v>784</v>
      </c>
      <c r="D21" s="689" t="s">
        <v>785</v>
      </c>
      <c r="E21" s="666" t="s">
        <v>755</v>
      </c>
      <c r="F21" s="667" t="s">
        <v>747</v>
      </c>
      <c r="G21" s="667" t="s">
        <v>593</v>
      </c>
      <c r="H21" s="666">
        <v>77630479</v>
      </c>
      <c r="I21" s="659"/>
      <c r="J21" s="659">
        <v>12</v>
      </c>
      <c r="K21" s="660"/>
      <c r="L21" s="660"/>
      <c r="M21" s="660">
        <v>12</v>
      </c>
      <c r="N21" s="662"/>
      <c r="O21" s="662"/>
      <c r="P21" s="662">
        <v>12</v>
      </c>
      <c r="Q21" s="662"/>
      <c r="R21" s="660"/>
      <c r="S21" s="660">
        <v>12</v>
      </c>
      <c r="T21" s="660"/>
      <c r="U21" s="660"/>
      <c r="V21" s="660">
        <v>12</v>
      </c>
      <c r="W21" s="662"/>
      <c r="X21" s="662"/>
      <c r="Y21" s="660">
        <v>12</v>
      </c>
      <c r="Z21" s="660"/>
      <c r="AA21" s="660"/>
      <c r="AB21" s="660">
        <v>12</v>
      </c>
      <c r="AC21" s="660"/>
      <c r="AD21" s="662"/>
      <c r="AE21" s="662">
        <v>12</v>
      </c>
      <c r="AF21" s="660"/>
      <c r="AG21" s="660"/>
      <c r="AH21" s="660">
        <v>12</v>
      </c>
      <c r="AI21" s="660"/>
      <c r="AJ21" s="660"/>
      <c r="AK21" s="662">
        <v>12</v>
      </c>
      <c r="AL21" s="662"/>
      <c r="AM21" s="661"/>
      <c r="AN21" s="663">
        <f t="shared" si="0"/>
        <v>120</v>
      </c>
      <c r="AO21" s="650"/>
      <c r="AP21" s="650"/>
      <c r="AQ21" s="650"/>
      <c r="AR21" s="650"/>
      <c r="AS21" s="650"/>
      <c r="AT21" s="650"/>
    </row>
    <row r="22" spans="1:46" s="697" customFormat="1" ht="27.6" x14ac:dyDescent="0.3">
      <c r="A22" s="690" t="s">
        <v>786</v>
      </c>
      <c r="B22" s="665" t="s">
        <v>787</v>
      </c>
      <c r="C22" s="665" t="s">
        <v>432</v>
      </c>
      <c r="D22" s="665" t="s">
        <v>788</v>
      </c>
      <c r="E22" s="650" t="s">
        <v>743</v>
      </c>
      <c r="F22" s="667" t="s">
        <v>747</v>
      </c>
      <c r="G22" s="667" t="s">
        <v>593</v>
      </c>
      <c r="H22" s="666">
        <v>77174581</v>
      </c>
      <c r="I22" s="659"/>
      <c r="J22" s="659">
        <v>12</v>
      </c>
      <c r="K22" s="660"/>
      <c r="L22" s="660"/>
      <c r="M22" s="660">
        <v>12</v>
      </c>
      <c r="N22" s="662"/>
      <c r="O22" s="662"/>
      <c r="P22" s="662">
        <v>12</v>
      </c>
      <c r="Q22" s="662"/>
      <c r="R22" s="660"/>
      <c r="S22" s="660">
        <v>12</v>
      </c>
      <c r="T22" s="660"/>
      <c r="U22" s="660"/>
      <c r="V22" s="660">
        <v>12</v>
      </c>
      <c r="W22" s="662"/>
      <c r="X22" s="662"/>
      <c r="Y22" s="660">
        <v>12</v>
      </c>
      <c r="Z22" s="660"/>
      <c r="AA22" s="660"/>
      <c r="AB22" s="660">
        <v>12</v>
      </c>
      <c r="AC22" s="660"/>
      <c r="AD22" s="662"/>
      <c r="AE22" s="662">
        <v>12</v>
      </c>
      <c r="AF22" s="660"/>
      <c r="AG22" s="660"/>
      <c r="AH22" s="660">
        <v>12</v>
      </c>
      <c r="AI22" s="660"/>
      <c r="AJ22" s="660"/>
      <c r="AK22" s="662">
        <v>12</v>
      </c>
      <c r="AL22" s="662"/>
      <c r="AM22" s="661"/>
      <c r="AN22" s="663">
        <f t="shared" si="0"/>
        <v>120</v>
      </c>
      <c r="AO22" s="650"/>
      <c r="AP22" s="650"/>
      <c r="AQ22" s="650"/>
      <c r="AR22" s="650"/>
      <c r="AS22" s="650"/>
      <c r="AT22" s="650"/>
    </row>
    <row r="23" spans="1:46" s="697" customFormat="1" ht="41.4" x14ac:dyDescent="0.3">
      <c r="A23" s="684">
        <v>6331171</v>
      </c>
      <c r="B23" s="676" t="s">
        <v>264</v>
      </c>
      <c r="C23" s="676" t="s">
        <v>789</v>
      </c>
      <c r="D23" s="676" t="s">
        <v>790</v>
      </c>
      <c r="E23" s="677" t="s">
        <v>734</v>
      </c>
      <c r="F23" s="678" t="s">
        <v>747</v>
      </c>
      <c r="G23" s="678">
        <v>0.3125</v>
      </c>
      <c r="H23" s="679">
        <v>75562502</v>
      </c>
      <c r="I23" s="659"/>
      <c r="J23" s="659"/>
      <c r="K23" s="660">
        <v>12</v>
      </c>
      <c r="L23" s="660"/>
      <c r="M23" s="660"/>
      <c r="N23" s="662">
        <v>12</v>
      </c>
      <c r="O23" s="662"/>
      <c r="P23" s="662"/>
      <c r="Q23" s="662">
        <v>12</v>
      </c>
      <c r="R23" s="660"/>
      <c r="S23" s="660"/>
      <c r="T23" s="660">
        <v>12</v>
      </c>
      <c r="U23" s="660"/>
      <c r="V23" s="660"/>
      <c r="W23" s="662">
        <v>12</v>
      </c>
      <c r="X23" s="662"/>
      <c r="Y23" s="660"/>
      <c r="Z23" s="660">
        <v>12</v>
      </c>
      <c r="AA23" s="660"/>
      <c r="AB23" s="660"/>
      <c r="AC23" s="660">
        <v>12</v>
      </c>
      <c r="AD23" s="662"/>
      <c r="AE23" s="662"/>
      <c r="AF23" s="660">
        <v>12</v>
      </c>
      <c r="AG23" s="660"/>
      <c r="AH23" s="660"/>
      <c r="AI23" s="660">
        <v>12</v>
      </c>
      <c r="AJ23" s="681">
        <v>12</v>
      </c>
      <c r="AK23" s="662"/>
      <c r="AL23" s="681" t="s">
        <v>403</v>
      </c>
      <c r="AM23" s="661"/>
      <c r="AN23" s="663">
        <f t="shared" si="0"/>
        <v>120</v>
      </c>
      <c r="AO23" s="650"/>
      <c r="AP23" s="650"/>
      <c r="AQ23" s="650"/>
      <c r="AR23" s="650"/>
      <c r="AS23" s="650"/>
      <c r="AT23" s="650"/>
    </row>
    <row r="24" spans="1:46" s="697" customFormat="1" ht="27.6" x14ac:dyDescent="0.3">
      <c r="A24" s="688" t="s">
        <v>791</v>
      </c>
      <c r="B24" s="689" t="s">
        <v>519</v>
      </c>
      <c r="C24" s="689" t="s">
        <v>792</v>
      </c>
      <c r="D24" s="689" t="s">
        <v>793</v>
      </c>
      <c r="E24" s="650" t="s">
        <v>739</v>
      </c>
      <c r="F24" s="667" t="s">
        <v>747</v>
      </c>
      <c r="G24" s="682" t="s">
        <v>771</v>
      </c>
      <c r="H24" s="666">
        <v>70248101</v>
      </c>
      <c r="I24" s="659"/>
      <c r="J24" s="659"/>
      <c r="K24" s="660">
        <v>11</v>
      </c>
      <c r="L24" s="660"/>
      <c r="M24" s="660"/>
      <c r="N24" s="662">
        <v>11</v>
      </c>
      <c r="O24" s="662"/>
      <c r="P24" s="662"/>
      <c r="Q24" s="662">
        <v>11</v>
      </c>
      <c r="R24" s="660"/>
      <c r="S24" s="660"/>
      <c r="T24" s="660">
        <v>11</v>
      </c>
      <c r="U24" s="660"/>
      <c r="V24" s="660"/>
      <c r="W24" s="662">
        <v>11</v>
      </c>
      <c r="X24" s="662"/>
      <c r="Y24" s="660"/>
      <c r="Z24" s="660">
        <v>11</v>
      </c>
      <c r="AA24" s="660"/>
      <c r="AB24" s="660"/>
      <c r="AC24" s="660">
        <v>11</v>
      </c>
      <c r="AD24" s="662"/>
      <c r="AE24" s="662"/>
      <c r="AF24" s="660">
        <v>11</v>
      </c>
      <c r="AG24" s="660"/>
      <c r="AH24" s="660"/>
      <c r="AI24" s="660">
        <v>11</v>
      </c>
      <c r="AJ24" s="660"/>
      <c r="AK24" s="662"/>
      <c r="AL24" s="662">
        <v>11</v>
      </c>
      <c r="AM24" s="661"/>
      <c r="AN24" s="663">
        <f t="shared" si="0"/>
        <v>110</v>
      </c>
      <c r="AO24" s="650"/>
      <c r="AP24" s="650"/>
      <c r="AQ24" s="650"/>
      <c r="AR24" s="650"/>
      <c r="AS24" s="650"/>
      <c r="AT24" s="650"/>
    </row>
    <row r="25" spans="1:46" s="697" customFormat="1" x14ac:dyDescent="0.3">
      <c r="A25" s="664" t="s">
        <v>794</v>
      </c>
      <c r="B25" s="665" t="s">
        <v>795</v>
      </c>
      <c r="C25" s="665" t="s">
        <v>796</v>
      </c>
      <c r="D25" s="665" t="s">
        <v>779</v>
      </c>
      <c r="E25" s="666" t="s">
        <v>755</v>
      </c>
      <c r="F25" s="667" t="s">
        <v>747</v>
      </c>
      <c r="G25" s="667" t="s">
        <v>593</v>
      </c>
      <c r="H25" s="671">
        <v>76665401</v>
      </c>
      <c r="I25" s="659"/>
      <c r="J25" s="659"/>
      <c r="K25" s="660">
        <v>12</v>
      </c>
      <c r="L25" s="660"/>
      <c r="M25" s="660"/>
      <c r="N25" s="662">
        <v>12</v>
      </c>
      <c r="O25" s="662"/>
      <c r="P25" s="662"/>
      <c r="Q25" s="662">
        <v>12</v>
      </c>
      <c r="R25" s="660"/>
      <c r="S25" s="660"/>
      <c r="T25" s="660">
        <v>12</v>
      </c>
      <c r="U25" s="660"/>
      <c r="V25" s="660"/>
      <c r="W25" s="662">
        <v>12</v>
      </c>
      <c r="X25" s="662"/>
      <c r="Y25" s="660"/>
      <c r="Z25" s="660">
        <v>12</v>
      </c>
      <c r="AA25" s="660"/>
      <c r="AB25" s="660"/>
      <c r="AC25" s="660">
        <v>12</v>
      </c>
      <c r="AD25" s="662"/>
      <c r="AE25" s="662"/>
      <c r="AF25" s="660">
        <v>12</v>
      </c>
      <c r="AG25" s="660"/>
      <c r="AH25" s="660"/>
      <c r="AI25" s="660">
        <v>12</v>
      </c>
      <c r="AJ25" s="660"/>
      <c r="AK25" s="662"/>
      <c r="AL25" s="662">
        <v>12</v>
      </c>
      <c r="AM25" s="661"/>
      <c r="AN25" s="663">
        <f t="shared" si="0"/>
        <v>120</v>
      </c>
      <c r="AO25" s="650"/>
      <c r="AP25" s="650"/>
      <c r="AQ25" s="650"/>
      <c r="AR25" s="650"/>
      <c r="AS25" s="650"/>
      <c r="AT25" s="650"/>
    </row>
    <row r="26" spans="1:46" s="697" customFormat="1" x14ac:dyDescent="0.3">
      <c r="A26" s="664" t="s">
        <v>797</v>
      </c>
      <c r="B26" s="665" t="s">
        <v>798</v>
      </c>
      <c r="C26" s="665" t="s">
        <v>799</v>
      </c>
      <c r="D26" s="665" t="s">
        <v>800</v>
      </c>
      <c r="E26" s="650" t="s">
        <v>743</v>
      </c>
      <c r="F26" s="667" t="s">
        <v>747</v>
      </c>
      <c r="G26" s="667" t="s">
        <v>593</v>
      </c>
      <c r="H26" s="666">
        <v>75334021</v>
      </c>
      <c r="I26" s="659"/>
      <c r="J26" s="659"/>
      <c r="K26" s="1190" t="s">
        <v>801</v>
      </c>
      <c r="L26" s="1191"/>
      <c r="M26" s="1191"/>
      <c r="N26" s="1191"/>
      <c r="O26" s="1191"/>
      <c r="P26" s="1191"/>
      <c r="Q26" s="1191"/>
      <c r="R26" s="1191"/>
      <c r="S26" s="1191"/>
      <c r="T26" s="1191"/>
      <c r="U26" s="1191"/>
      <c r="V26" s="1191"/>
      <c r="W26" s="1192"/>
      <c r="X26" s="686"/>
      <c r="Y26" s="686"/>
      <c r="Z26" s="660">
        <v>12</v>
      </c>
      <c r="AA26" s="660"/>
      <c r="AB26" s="660"/>
      <c r="AC26" s="660">
        <v>12</v>
      </c>
      <c r="AD26" s="662"/>
      <c r="AE26" s="662"/>
      <c r="AF26" s="660">
        <v>12</v>
      </c>
      <c r="AG26" s="660"/>
      <c r="AH26" s="660"/>
      <c r="AI26" s="660">
        <v>12</v>
      </c>
      <c r="AJ26" s="660"/>
      <c r="AK26" s="662"/>
      <c r="AL26" s="662">
        <v>12</v>
      </c>
      <c r="AM26" s="661"/>
      <c r="AN26" s="663">
        <f t="shared" si="0"/>
        <v>60</v>
      </c>
      <c r="AO26" s="650"/>
      <c r="AP26" s="650"/>
      <c r="AQ26" s="650"/>
      <c r="AR26" s="650"/>
      <c r="AS26" s="650"/>
      <c r="AT26" s="650"/>
    </row>
    <row r="27" spans="1:46" s="697" customFormat="1" ht="41.4" x14ac:dyDescent="0.3">
      <c r="A27" s="675" t="s">
        <v>802</v>
      </c>
      <c r="B27" s="676" t="s">
        <v>803</v>
      </c>
      <c r="C27" s="676" t="s">
        <v>302</v>
      </c>
      <c r="D27" s="676" t="s">
        <v>804</v>
      </c>
      <c r="E27" s="677" t="s">
        <v>734</v>
      </c>
      <c r="F27" s="678" t="s">
        <v>805</v>
      </c>
      <c r="G27" s="678" t="s">
        <v>747</v>
      </c>
      <c r="H27" s="679">
        <v>62210105</v>
      </c>
      <c r="I27" s="659">
        <v>12</v>
      </c>
      <c r="J27" s="659">
        <v>12</v>
      </c>
      <c r="K27" s="660"/>
      <c r="L27" s="660"/>
      <c r="M27" s="660"/>
      <c r="N27" s="662">
        <v>12</v>
      </c>
      <c r="O27" s="662">
        <v>12</v>
      </c>
      <c r="P27" s="662">
        <v>12</v>
      </c>
      <c r="Q27" s="662">
        <v>12</v>
      </c>
      <c r="R27" s="660"/>
      <c r="S27" s="660"/>
      <c r="T27" s="660"/>
      <c r="U27" s="660"/>
      <c r="V27" s="660"/>
      <c r="W27" s="662">
        <v>12</v>
      </c>
      <c r="X27" s="662">
        <v>12</v>
      </c>
      <c r="Y27" s="660"/>
      <c r="Z27" s="660"/>
      <c r="AA27" s="660"/>
      <c r="AB27" s="660"/>
      <c r="AC27" s="660"/>
      <c r="AD27" s="662">
        <v>12</v>
      </c>
      <c r="AE27" s="662">
        <v>12</v>
      </c>
      <c r="AF27" s="660"/>
      <c r="AG27" s="660"/>
      <c r="AH27" s="660"/>
      <c r="AI27" s="660"/>
      <c r="AJ27" s="660"/>
      <c r="AK27" s="662">
        <v>12</v>
      </c>
      <c r="AL27" s="662">
        <v>12</v>
      </c>
      <c r="AM27" s="661"/>
      <c r="AN27" s="663">
        <f t="shared" si="0"/>
        <v>144</v>
      </c>
      <c r="AO27" s="650"/>
      <c r="AP27" s="650"/>
      <c r="AQ27" s="650"/>
      <c r="AR27" s="650"/>
      <c r="AS27" s="650"/>
      <c r="AT27" s="650"/>
    </row>
    <row r="28" spans="1:46" s="697" customFormat="1" ht="27.6" x14ac:dyDescent="0.3">
      <c r="A28" s="691" t="s">
        <v>806</v>
      </c>
      <c r="B28" s="665" t="s">
        <v>807</v>
      </c>
      <c r="C28" s="665" t="s">
        <v>808</v>
      </c>
      <c r="D28" s="665" t="s">
        <v>809</v>
      </c>
      <c r="E28" s="650" t="s">
        <v>739</v>
      </c>
      <c r="F28" s="667" t="s">
        <v>593</v>
      </c>
      <c r="G28" s="667" t="s">
        <v>747</v>
      </c>
      <c r="H28" s="666">
        <v>77618993</v>
      </c>
      <c r="I28" s="659">
        <v>12</v>
      </c>
      <c r="J28" s="659">
        <v>12</v>
      </c>
      <c r="K28" s="660"/>
      <c r="L28" s="660"/>
      <c r="M28" s="660"/>
      <c r="N28" s="662">
        <v>12</v>
      </c>
      <c r="O28" s="662">
        <v>12</v>
      </c>
      <c r="P28" s="662">
        <v>12</v>
      </c>
      <c r="Q28" s="662">
        <v>12</v>
      </c>
      <c r="R28" s="660"/>
      <c r="S28" s="660"/>
      <c r="T28" s="660"/>
      <c r="U28" s="660"/>
      <c r="V28" s="660"/>
      <c r="W28" s="662">
        <v>12</v>
      </c>
      <c r="X28" s="662">
        <v>12</v>
      </c>
      <c r="Y28" s="660"/>
      <c r="Z28" s="660"/>
      <c r="AA28" s="660"/>
      <c r="AB28" s="660"/>
      <c r="AC28" s="660"/>
      <c r="AD28" s="662">
        <v>12</v>
      </c>
      <c r="AE28" s="662">
        <v>12</v>
      </c>
      <c r="AF28" s="660"/>
      <c r="AG28" s="660"/>
      <c r="AH28" s="660"/>
      <c r="AI28" s="660"/>
      <c r="AJ28" s="660"/>
      <c r="AK28" s="662">
        <v>12</v>
      </c>
      <c r="AL28" s="662">
        <v>12</v>
      </c>
      <c r="AM28" s="661"/>
      <c r="AN28" s="663">
        <f t="shared" si="0"/>
        <v>144</v>
      </c>
      <c r="AO28" s="650"/>
      <c r="AP28" s="650"/>
      <c r="AQ28" s="650"/>
      <c r="AR28" s="650"/>
      <c r="AS28" s="650"/>
      <c r="AT28" s="650"/>
    </row>
    <row r="29" spans="1:46" s="697" customFormat="1" x14ac:dyDescent="0.3">
      <c r="A29" s="664" t="s">
        <v>810</v>
      </c>
      <c r="B29" s="665" t="s">
        <v>56</v>
      </c>
      <c r="C29" s="665" t="s">
        <v>56</v>
      </c>
      <c r="D29" s="665" t="s">
        <v>811</v>
      </c>
      <c r="E29" s="666" t="s">
        <v>755</v>
      </c>
      <c r="F29" s="667" t="s">
        <v>593</v>
      </c>
      <c r="G29" s="667" t="s">
        <v>747</v>
      </c>
      <c r="H29" s="666">
        <v>731194224</v>
      </c>
      <c r="I29" s="659">
        <v>12</v>
      </c>
      <c r="J29" s="659">
        <v>12</v>
      </c>
      <c r="K29" s="660"/>
      <c r="L29" s="660"/>
      <c r="M29" s="660"/>
      <c r="N29" s="662">
        <v>12</v>
      </c>
      <c r="O29" s="662">
        <v>12</v>
      </c>
      <c r="P29" s="662">
        <v>12</v>
      </c>
      <c r="Q29" s="662">
        <v>12</v>
      </c>
      <c r="R29" s="660"/>
      <c r="S29" s="660"/>
      <c r="T29" s="660"/>
      <c r="U29" s="660"/>
      <c r="V29" s="660"/>
      <c r="W29" s="662">
        <v>12</v>
      </c>
      <c r="X29" s="662">
        <v>12</v>
      </c>
      <c r="Y29" s="660"/>
      <c r="Z29" s="660"/>
      <c r="AA29" s="660"/>
      <c r="AB29" s="660"/>
      <c r="AC29" s="660"/>
      <c r="AD29" s="662">
        <v>12</v>
      </c>
      <c r="AE29" s="662">
        <v>12</v>
      </c>
      <c r="AF29" s="660"/>
      <c r="AG29" s="660"/>
      <c r="AH29" s="660"/>
      <c r="AI29" s="660"/>
      <c r="AJ29" s="660"/>
      <c r="AK29" s="662">
        <v>12</v>
      </c>
      <c r="AL29" s="662">
        <v>12</v>
      </c>
      <c r="AM29" s="661"/>
      <c r="AN29" s="663">
        <f t="shared" si="0"/>
        <v>144</v>
      </c>
      <c r="AO29" s="650"/>
      <c r="AP29" s="650"/>
      <c r="AQ29" s="650"/>
      <c r="AR29" s="650"/>
      <c r="AS29" s="650"/>
      <c r="AT29" s="650"/>
    </row>
    <row r="30" spans="1:46" s="697" customFormat="1" ht="27.6" x14ac:dyDescent="0.3">
      <c r="A30" s="692" t="s">
        <v>812</v>
      </c>
      <c r="B30" s="673" t="s">
        <v>813</v>
      </c>
      <c r="C30" s="673" t="s">
        <v>814</v>
      </c>
      <c r="D30" s="673" t="s">
        <v>815</v>
      </c>
      <c r="E30" s="672" t="s">
        <v>743</v>
      </c>
      <c r="F30" s="667" t="s">
        <v>593</v>
      </c>
      <c r="G30" s="667" t="s">
        <v>747</v>
      </c>
      <c r="H30" s="666">
        <v>60900821</v>
      </c>
      <c r="I30" s="659">
        <v>12</v>
      </c>
      <c r="J30" s="659">
        <v>12</v>
      </c>
      <c r="K30" s="660"/>
      <c r="L30" s="660"/>
      <c r="M30" s="660"/>
      <c r="N30" s="662">
        <v>12</v>
      </c>
      <c r="O30" s="662">
        <v>12</v>
      </c>
      <c r="P30" s="662">
        <v>12</v>
      </c>
      <c r="Q30" s="662">
        <v>12</v>
      </c>
      <c r="R30" s="660"/>
      <c r="S30" s="660"/>
      <c r="T30" s="660"/>
      <c r="U30" s="660"/>
      <c r="V30" s="660"/>
      <c r="W30" s="662">
        <v>12</v>
      </c>
      <c r="X30" s="662">
        <v>12</v>
      </c>
      <c r="Y30" s="660"/>
      <c r="Z30" s="660"/>
      <c r="AA30" s="660"/>
      <c r="AB30" s="660"/>
      <c r="AC30" s="660"/>
      <c r="AD30" s="662">
        <v>12</v>
      </c>
      <c r="AE30" s="662">
        <v>12</v>
      </c>
      <c r="AF30" s="660"/>
      <c r="AG30" s="660"/>
      <c r="AH30" s="660"/>
      <c r="AI30" s="660"/>
      <c r="AJ30" s="660"/>
      <c r="AK30" s="662">
        <v>12</v>
      </c>
      <c r="AL30" s="662">
        <v>12</v>
      </c>
      <c r="AM30" s="661"/>
      <c r="AN30" s="663">
        <f t="shared" si="0"/>
        <v>144</v>
      </c>
      <c r="AO30" s="650"/>
      <c r="AP30" s="650"/>
      <c r="AQ30" s="650"/>
      <c r="AR30" s="650"/>
      <c r="AS30" s="650"/>
      <c r="AT30" s="650"/>
    </row>
    <row r="31" spans="1:46" x14ac:dyDescent="0.3">
      <c r="A31" s="695"/>
      <c r="B31" s="650"/>
      <c r="C31" s="650"/>
      <c r="D31" s="650"/>
      <c r="E31" s="650"/>
      <c r="F31" s="650"/>
      <c r="G31" s="650"/>
      <c r="H31" s="650"/>
      <c r="I31" s="650"/>
      <c r="J31" s="650"/>
      <c r="K31" s="650"/>
      <c r="L31" s="650"/>
      <c r="M31" s="650"/>
      <c r="N31" s="650"/>
      <c r="O31" s="650"/>
      <c r="P31" s="650"/>
      <c r="Q31" s="650"/>
      <c r="R31" s="650"/>
      <c r="S31" s="650"/>
      <c r="T31" s="650"/>
      <c r="U31" s="650"/>
      <c r="V31" s="650"/>
      <c r="W31" s="650"/>
      <c r="X31" s="650"/>
      <c r="Y31" s="650"/>
      <c r="Z31" s="650"/>
      <c r="AA31" s="650"/>
      <c r="AB31" s="650"/>
      <c r="AC31" s="650"/>
      <c r="AD31" s="650"/>
      <c r="AE31" s="650"/>
      <c r="AF31" s="650"/>
      <c r="AG31" s="650"/>
      <c r="AH31" s="650"/>
      <c r="AI31" s="650"/>
      <c r="AJ31" s="650"/>
      <c r="AK31" s="650"/>
      <c r="AL31" s="650"/>
      <c r="AM31" s="650"/>
      <c r="AN31" s="650"/>
      <c r="AO31" s="650"/>
      <c r="AP31" s="650"/>
      <c r="AQ31" s="650"/>
      <c r="AR31" s="650"/>
      <c r="AS31" s="650"/>
      <c r="AT31" s="650"/>
    </row>
    <row r="32" spans="1:46" x14ac:dyDescent="0.3">
      <c r="A32" s="1193" t="s">
        <v>816</v>
      </c>
      <c r="B32" s="1193"/>
      <c r="C32" s="1193"/>
      <c r="D32" s="1193"/>
      <c r="E32" s="1193"/>
      <c r="F32" s="1193"/>
      <c r="G32" s="1193"/>
      <c r="H32" s="1193"/>
      <c r="I32" s="650"/>
      <c r="J32" s="650"/>
      <c r="K32" s="650"/>
      <c r="L32" s="650"/>
      <c r="M32" s="650"/>
      <c r="N32" s="650"/>
      <c r="O32" s="650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0"/>
      <c r="AA32" s="650"/>
      <c r="AB32" s="650"/>
      <c r="AC32" s="650"/>
      <c r="AD32" s="650"/>
      <c r="AE32" s="650"/>
      <c r="AF32" s="650"/>
      <c r="AG32" s="650"/>
      <c r="AH32" s="650"/>
      <c r="AI32" s="650"/>
      <c r="AJ32" s="650"/>
      <c r="AK32" s="650"/>
      <c r="AL32" s="650"/>
      <c r="AM32" s="650"/>
      <c r="AN32" s="650"/>
      <c r="AO32" s="650"/>
      <c r="AP32" s="650"/>
      <c r="AQ32" s="650"/>
      <c r="AR32" s="650"/>
      <c r="AS32" s="650"/>
      <c r="AT32" s="650"/>
    </row>
    <row r="33" spans="1:46" x14ac:dyDescent="0.3">
      <c r="A33" s="1193" t="s">
        <v>817</v>
      </c>
      <c r="B33" s="1193"/>
      <c r="C33" s="1193"/>
      <c r="D33" s="1193"/>
      <c r="E33" s="1193"/>
      <c r="F33" s="1193"/>
      <c r="G33" s="1193"/>
      <c r="H33" s="693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650"/>
      <c r="AB33" s="650"/>
      <c r="AC33" s="650"/>
      <c r="AD33" s="650"/>
      <c r="AE33" s="650"/>
      <c r="AF33" s="650"/>
      <c r="AG33" s="650"/>
      <c r="AH33" s="650"/>
      <c r="AI33" s="650"/>
      <c r="AJ33" s="650"/>
      <c r="AK33" s="650"/>
      <c r="AL33" s="650"/>
      <c r="AM33" s="650"/>
      <c r="AN33" s="650"/>
      <c r="AO33" s="650"/>
      <c r="AP33" s="650"/>
      <c r="AQ33" s="650"/>
      <c r="AR33" s="650"/>
      <c r="AS33" s="650"/>
      <c r="AT33" s="650"/>
    </row>
    <row r="34" spans="1:46" x14ac:dyDescent="0.3">
      <c r="A34" s="1194" t="s">
        <v>818</v>
      </c>
      <c r="B34" s="1194"/>
      <c r="C34" s="1194"/>
      <c r="D34" s="1194"/>
      <c r="E34" s="1194"/>
      <c r="F34" s="1194"/>
      <c r="G34" s="1194"/>
      <c r="H34" s="668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650"/>
      <c r="AB34" s="650"/>
      <c r="AC34" s="650"/>
      <c r="AD34" s="650"/>
      <c r="AE34" s="650"/>
      <c r="AF34" s="650"/>
      <c r="AG34" s="650"/>
      <c r="AH34" s="650"/>
      <c r="AI34" s="650"/>
      <c r="AJ34" s="650"/>
      <c r="AK34" s="650"/>
      <c r="AL34" s="650"/>
      <c r="AM34" s="650"/>
      <c r="AN34" s="650"/>
      <c r="AO34" s="650"/>
      <c r="AP34" s="650"/>
      <c r="AQ34" s="650"/>
      <c r="AR34" s="650"/>
      <c r="AS34" s="650"/>
      <c r="AT34" s="650"/>
    </row>
    <row r="35" spans="1:46" x14ac:dyDescent="0.3">
      <c r="A35" s="1194" t="s">
        <v>819</v>
      </c>
      <c r="B35" s="1194"/>
      <c r="C35" s="1194"/>
      <c r="D35" s="1194"/>
      <c r="E35" s="1194"/>
      <c r="F35" s="1194"/>
      <c r="G35" s="1194"/>
      <c r="H35" s="1194"/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0"/>
      <c r="V35" s="650"/>
      <c r="W35" s="650"/>
      <c r="X35" s="650"/>
      <c r="Y35" s="650"/>
      <c r="Z35" s="650"/>
      <c r="AA35" s="650"/>
      <c r="AB35" s="650"/>
      <c r="AC35" s="650"/>
      <c r="AD35" s="650"/>
      <c r="AE35" s="650"/>
      <c r="AF35" s="650"/>
      <c r="AG35" s="650"/>
      <c r="AH35" s="650"/>
      <c r="AI35" s="650"/>
      <c r="AJ35" s="650"/>
      <c r="AK35" s="650"/>
      <c r="AL35" s="650"/>
      <c r="AM35" s="650"/>
      <c r="AN35" s="650"/>
      <c r="AO35" s="650"/>
      <c r="AP35" s="650"/>
      <c r="AQ35" s="650"/>
      <c r="AR35" s="650"/>
      <c r="AS35" s="650"/>
      <c r="AT35" s="650"/>
    </row>
    <row r="36" spans="1:46" x14ac:dyDescent="0.3">
      <c r="A36" s="1194" t="s">
        <v>820</v>
      </c>
      <c r="B36" s="1194"/>
      <c r="C36" s="1194"/>
      <c r="D36" s="1194"/>
      <c r="E36" s="1194"/>
      <c r="F36" s="1194"/>
      <c r="G36" s="1194"/>
      <c r="H36" s="1194"/>
      <c r="I36" s="694"/>
      <c r="J36" s="694"/>
      <c r="K36" s="694"/>
      <c r="L36" s="694"/>
      <c r="M36" s="694"/>
      <c r="N36" s="694"/>
      <c r="O36" s="694"/>
      <c r="P36" s="694"/>
      <c r="Q36" s="694"/>
      <c r="R36" s="694"/>
      <c r="S36" s="694"/>
      <c r="T36" s="694"/>
      <c r="U36" s="694"/>
      <c r="V36" s="694"/>
      <c r="W36" s="694"/>
      <c r="X36" s="694"/>
      <c r="Y36" s="694"/>
      <c r="Z36" s="694"/>
      <c r="AA36" s="694"/>
      <c r="AB36" s="694"/>
      <c r="AC36" s="694"/>
      <c r="AD36" s="694"/>
      <c r="AE36" s="694"/>
      <c r="AF36" s="694"/>
      <c r="AG36" s="694"/>
      <c r="AH36" s="694"/>
      <c r="AI36" s="694"/>
      <c r="AJ36" s="694"/>
      <c r="AK36" s="694"/>
      <c r="AL36" s="694"/>
      <c r="AM36" s="694"/>
      <c r="AN36" s="694"/>
      <c r="AO36" s="650"/>
      <c r="AP36" s="650"/>
      <c r="AQ36" s="650"/>
      <c r="AR36" s="650"/>
      <c r="AS36" s="650"/>
      <c r="AT36" s="650"/>
    </row>
    <row r="37" spans="1:46" x14ac:dyDescent="0.3">
      <c r="A37" s="1188"/>
      <c r="B37" s="1188"/>
      <c r="C37" s="1188"/>
      <c r="D37" s="1188"/>
      <c r="E37" s="1188"/>
      <c r="F37" s="1188"/>
      <c r="G37" s="1188"/>
      <c r="H37" s="1188"/>
      <c r="I37" s="650"/>
      <c r="J37" s="650"/>
      <c r="K37" s="650"/>
      <c r="L37" s="650"/>
      <c r="M37" s="650"/>
      <c r="N37" s="650"/>
      <c r="O37" s="650"/>
      <c r="P37" s="650"/>
      <c r="Q37" s="650"/>
      <c r="R37" s="650"/>
      <c r="S37" s="650"/>
      <c r="T37" s="650"/>
      <c r="U37" s="650"/>
      <c r="V37" s="650"/>
      <c r="W37" s="650"/>
      <c r="X37" s="650"/>
      <c r="Y37" s="650"/>
      <c r="Z37" s="650"/>
      <c r="AA37" s="650"/>
      <c r="AB37" s="650"/>
      <c r="AC37" s="650"/>
      <c r="AD37" s="650"/>
      <c r="AE37" s="650"/>
      <c r="AF37" s="650"/>
      <c r="AG37" s="650"/>
      <c r="AH37" s="650"/>
      <c r="AI37" s="650"/>
      <c r="AJ37" s="650"/>
      <c r="AK37" s="650"/>
      <c r="AL37" s="650"/>
      <c r="AM37" s="650"/>
      <c r="AN37" s="650"/>
      <c r="AO37" s="650"/>
      <c r="AP37" s="650"/>
      <c r="AQ37" s="650"/>
      <c r="AR37" s="650"/>
      <c r="AS37" s="650"/>
      <c r="AT37" s="650"/>
    </row>
    <row r="38" spans="1:46" x14ac:dyDescent="0.3">
      <c r="A38" s="695"/>
      <c r="B38" s="650"/>
      <c r="C38" s="650"/>
      <c r="D38" s="650"/>
      <c r="E38" s="650"/>
      <c r="F38" s="650"/>
      <c r="G38" s="650"/>
      <c r="H38" s="650"/>
      <c r="I38" s="650"/>
      <c r="J38" s="650"/>
      <c r="K38" s="650"/>
      <c r="L38" s="650"/>
      <c r="M38" s="650"/>
      <c r="N38" s="650"/>
      <c r="O38" s="650"/>
      <c r="P38" s="650"/>
      <c r="Q38" s="650"/>
      <c r="R38" s="650"/>
      <c r="S38" s="650"/>
      <c r="T38" s="650"/>
      <c r="U38" s="650"/>
      <c r="V38" s="650"/>
      <c r="W38" s="650"/>
      <c r="X38" s="650"/>
      <c r="Y38" s="650"/>
      <c r="Z38" s="650"/>
      <c r="AA38" s="650"/>
      <c r="AB38" s="650"/>
      <c r="AC38" s="650"/>
      <c r="AD38" s="650"/>
      <c r="AE38" s="650"/>
      <c r="AF38" s="650"/>
      <c r="AG38" s="650"/>
      <c r="AH38" s="650"/>
      <c r="AI38" s="650"/>
      <c r="AJ38" s="650"/>
      <c r="AK38" s="650"/>
      <c r="AL38" s="650"/>
      <c r="AM38" s="650"/>
      <c r="AN38" s="650"/>
      <c r="AO38" s="650"/>
      <c r="AP38" s="650"/>
      <c r="AQ38" s="650"/>
      <c r="AR38" s="650"/>
      <c r="AS38" s="650"/>
      <c r="AT38" s="650"/>
    </row>
    <row r="39" spans="1:46" x14ac:dyDescent="0.3">
      <c r="A39" s="695"/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50"/>
      <c r="AB39" s="650"/>
      <c r="AC39" s="650"/>
      <c r="AD39" s="650"/>
      <c r="AE39" s="650"/>
      <c r="AF39" s="650"/>
      <c r="AG39" s="650"/>
      <c r="AH39" s="650"/>
      <c r="AI39" s="650"/>
      <c r="AJ39" s="650"/>
      <c r="AK39" s="650"/>
      <c r="AL39" s="650"/>
      <c r="AM39" s="650"/>
      <c r="AN39" s="650"/>
      <c r="AO39" s="650"/>
      <c r="AP39" s="650"/>
      <c r="AQ39" s="650"/>
      <c r="AR39" s="650"/>
      <c r="AS39" s="650"/>
      <c r="AT39" s="650"/>
    </row>
    <row r="40" spans="1:46" x14ac:dyDescent="0.3">
      <c r="A40" s="695"/>
      <c r="B40" s="650"/>
      <c r="C40" s="650"/>
      <c r="D40" s="650"/>
      <c r="E40" s="650"/>
      <c r="F40" s="650"/>
      <c r="G40" s="650"/>
      <c r="H40" s="650"/>
      <c r="I40" s="650"/>
      <c r="J40" s="650"/>
      <c r="K40" s="650"/>
      <c r="L40" s="650"/>
      <c r="M40" s="650"/>
      <c r="N40" s="650"/>
      <c r="O40" s="650"/>
      <c r="P40" s="650"/>
      <c r="Q40" s="650"/>
      <c r="R40" s="650"/>
      <c r="S40" s="650"/>
      <c r="T40" s="650"/>
      <c r="U40" s="650"/>
      <c r="V40" s="650"/>
      <c r="W40" s="650"/>
      <c r="X40" s="650"/>
      <c r="Y40" s="650"/>
      <c r="Z40" s="650"/>
      <c r="AA40" s="650"/>
      <c r="AB40" s="650"/>
      <c r="AC40" s="650"/>
      <c r="AD40" s="650"/>
      <c r="AE40" s="650"/>
      <c r="AF40" s="650"/>
      <c r="AG40" s="650"/>
      <c r="AH40" s="650"/>
      <c r="AI40" s="650"/>
      <c r="AJ40" s="650"/>
      <c r="AK40" s="650"/>
      <c r="AL40" s="650"/>
      <c r="AM40" s="650"/>
      <c r="AN40" s="650"/>
      <c r="AO40" s="650"/>
      <c r="AP40" s="650"/>
      <c r="AQ40" s="650"/>
      <c r="AR40" s="650"/>
      <c r="AS40" s="650"/>
      <c r="AT40" s="650"/>
    </row>
    <row r="41" spans="1:46" x14ac:dyDescent="0.3">
      <c r="A41" s="695"/>
      <c r="B41" s="650"/>
      <c r="C41" s="650"/>
      <c r="D41" s="650"/>
      <c r="E41" s="650"/>
      <c r="F41" s="650"/>
      <c r="G41" s="650"/>
      <c r="H41" s="650"/>
      <c r="I41" s="650"/>
      <c r="J41" s="650"/>
      <c r="K41" s="650"/>
      <c r="L41" s="650"/>
      <c r="M41" s="650"/>
      <c r="N41" s="650"/>
      <c r="O41" s="650"/>
      <c r="P41" s="650"/>
      <c r="Q41" s="650"/>
      <c r="R41" s="650"/>
      <c r="S41" s="650"/>
      <c r="T41" s="650"/>
      <c r="U41" s="650"/>
      <c r="V41" s="650"/>
      <c r="W41" s="650"/>
      <c r="X41" s="650"/>
      <c r="Y41" s="650"/>
      <c r="Z41" s="650"/>
      <c r="AA41" s="650"/>
      <c r="AB41" s="650"/>
      <c r="AC41" s="650"/>
      <c r="AD41" s="650"/>
      <c r="AE41" s="650"/>
      <c r="AF41" s="650"/>
      <c r="AG41" s="650"/>
      <c r="AH41" s="650"/>
      <c r="AI41" s="650"/>
      <c r="AJ41" s="650"/>
      <c r="AK41" s="650"/>
      <c r="AL41" s="650"/>
      <c r="AM41" s="650"/>
      <c r="AN41" s="650"/>
      <c r="AO41" s="650"/>
      <c r="AP41" s="650"/>
      <c r="AQ41" s="650"/>
      <c r="AR41" s="650"/>
      <c r="AS41" s="650"/>
      <c r="AT41" s="650"/>
    </row>
    <row r="42" spans="1:46" x14ac:dyDescent="0.3">
      <c r="A42" s="695"/>
      <c r="B42" s="650"/>
      <c r="C42" s="650"/>
      <c r="D42" s="650"/>
      <c r="E42" s="650"/>
      <c r="F42" s="650"/>
      <c r="G42" s="650"/>
      <c r="H42" s="650"/>
      <c r="I42" s="650"/>
      <c r="J42" s="650"/>
      <c r="K42" s="650"/>
      <c r="L42" s="650"/>
      <c r="M42" s="650"/>
      <c r="N42" s="650"/>
      <c r="O42" s="650"/>
      <c r="P42" s="650"/>
      <c r="Q42" s="650"/>
      <c r="R42" s="650"/>
      <c r="S42" s="650"/>
      <c r="T42" s="650"/>
      <c r="U42" s="650"/>
      <c r="V42" s="650"/>
      <c r="W42" s="650"/>
      <c r="X42" s="650"/>
      <c r="Y42" s="650"/>
      <c r="Z42" s="650"/>
      <c r="AA42" s="650"/>
      <c r="AB42" s="650"/>
      <c r="AC42" s="650"/>
      <c r="AD42" s="650"/>
      <c r="AE42" s="650"/>
      <c r="AF42" s="650"/>
      <c r="AG42" s="650"/>
      <c r="AH42" s="650"/>
      <c r="AI42" s="650"/>
      <c r="AJ42" s="650"/>
      <c r="AK42" s="650"/>
      <c r="AL42" s="650"/>
      <c r="AM42" s="650"/>
      <c r="AN42" s="650"/>
      <c r="AO42" s="650"/>
      <c r="AP42" s="650"/>
      <c r="AQ42" s="650"/>
      <c r="AR42" s="650"/>
      <c r="AS42" s="650"/>
      <c r="AT42" s="650"/>
    </row>
    <row r="43" spans="1:46" x14ac:dyDescent="0.3">
      <c r="A43" s="695"/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650"/>
      <c r="AB43" s="650"/>
      <c r="AC43" s="650"/>
      <c r="AD43" s="650"/>
      <c r="AE43" s="650"/>
      <c r="AF43" s="650"/>
      <c r="AG43" s="650"/>
      <c r="AH43" s="650"/>
      <c r="AI43" s="650"/>
      <c r="AJ43" s="650"/>
      <c r="AK43" s="650"/>
      <c r="AL43" s="650"/>
      <c r="AM43" s="650"/>
      <c r="AN43" s="650"/>
      <c r="AO43" s="650"/>
      <c r="AP43" s="650"/>
      <c r="AQ43" s="650"/>
      <c r="AR43" s="650"/>
      <c r="AS43" s="650"/>
      <c r="AT43" s="650"/>
    </row>
  </sheetData>
  <mergeCells count="22">
    <mergeCell ref="A37:H37"/>
    <mergeCell ref="G5:G6"/>
    <mergeCell ref="H5:H6"/>
    <mergeCell ref="AN5:AN6"/>
    <mergeCell ref="Z10:AM10"/>
    <mergeCell ref="Y20:AK20"/>
    <mergeCell ref="K26:W26"/>
    <mergeCell ref="A32:H32"/>
    <mergeCell ref="A33:G33"/>
    <mergeCell ref="A34:G34"/>
    <mergeCell ref="A35:H35"/>
    <mergeCell ref="A36:H36"/>
    <mergeCell ref="A2:F3"/>
    <mergeCell ref="G2:AD3"/>
    <mergeCell ref="A4:F4"/>
    <mergeCell ref="G4:AD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"/>
  <sheetViews>
    <sheetView workbookViewId="0">
      <selection activeCell="E14" sqref="E14"/>
    </sheetView>
  </sheetViews>
  <sheetFormatPr baseColWidth="10" defaultColWidth="11.44140625" defaultRowHeight="10.199999999999999" x14ac:dyDescent="0.2"/>
  <cols>
    <col min="1" max="8" width="11.44140625" style="503"/>
    <col min="9" max="39" width="2.6640625" style="503" bestFit="1" customWidth="1"/>
    <col min="40" max="40" width="9.44140625" style="503" customWidth="1"/>
    <col min="41" max="16384" width="11.44140625" style="503"/>
  </cols>
  <sheetData>
    <row r="1" spans="1:41" x14ac:dyDescent="0.2">
      <c r="A1" s="1207" t="s">
        <v>821</v>
      </c>
      <c r="B1" s="1208"/>
      <c r="C1" s="1209"/>
      <c r="D1" s="1210" t="s">
        <v>193</v>
      </c>
      <c r="E1" s="1211"/>
      <c r="F1" s="1211"/>
      <c r="G1" s="1211"/>
      <c r="H1" s="1211"/>
      <c r="I1" s="1211"/>
      <c r="J1" s="1211"/>
      <c r="K1" s="1211"/>
      <c r="L1" s="1211"/>
      <c r="M1" s="1211"/>
      <c r="N1" s="1211"/>
      <c r="O1" s="1211"/>
      <c r="P1" s="1211"/>
      <c r="Q1" s="1211"/>
      <c r="R1" s="1211"/>
      <c r="S1" s="1211"/>
      <c r="T1" s="1211"/>
      <c r="U1" s="1211"/>
      <c r="V1" s="1211"/>
      <c r="W1" s="1211"/>
      <c r="X1" s="1211"/>
      <c r="Y1" s="1211"/>
      <c r="Z1" s="1211"/>
      <c r="AA1" s="1211"/>
      <c r="AB1" s="1211"/>
      <c r="AC1" s="1211"/>
      <c r="AD1" s="1211"/>
      <c r="AE1" s="1211"/>
      <c r="AF1" s="1211"/>
      <c r="AG1" s="1211"/>
      <c r="AH1" s="1211"/>
      <c r="AI1" s="1211"/>
      <c r="AJ1" s="1211"/>
      <c r="AK1" s="1211"/>
      <c r="AL1" s="1211"/>
      <c r="AM1" s="1211"/>
      <c r="AN1" s="1212"/>
      <c r="AO1" s="698"/>
    </row>
    <row r="2" spans="1:41" x14ac:dyDescent="0.2">
      <c r="A2" s="1202" t="s">
        <v>822</v>
      </c>
      <c r="B2" s="1203"/>
      <c r="C2" s="1219" t="s">
        <v>823</v>
      </c>
      <c r="D2" s="1213" t="s">
        <v>824</v>
      </c>
      <c r="E2" s="1214"/>
      <c r="F2" s="1214"/>
      <c r="G2" s="1214"/>
      <c r="H2" s="1214"/>
      <c r="I2" s="1214"/>
      <c r="J2" s="1214"/>
      <c r="K2" s="1214"/>
      <c r="L2" s="1214"/>
      <c r="M2" s="1214"/>
      <c r="N2" s="1214"/>
      <c r="O2" s="1214"/>
      <c r="P2" s="1214"/>
      <c r="Q2" s="1214"/>
      <c r="R2" s="1214"/>
      <c r="S2" s="1214"/>
      <c r="T2" s="1214"/>
      <c r="U2" s="1214"/>
      <c r="V2" s="1214"/>
      <c r="W2" s="1214"/>
      <c r="X2" s="1214"/>
      <c r="Y2" s="1214"/>
      <c r="Z2" s="1214"/>
      <c r="AA2" s="1214"/>
      <c r="AB2" s="1214"/>
      <c r="AC2" s="1214"/>
      <c r="AD2" s="1214"/>
      <c r="AE2" s="1214"/>
      <c r="AF2" s="1214"/>
      <c r="AG2" s="1214"/>
      <c r="AH2" s="1214"/>
      <c r="AI2" s="1214"/>
      <c r="AJ2" s="1214"/>
      <c r="AK2" s="1214"/>
      <c r="AL2" s="1214"/>
      <c r="AM2" s="1214"/>
      <c r="AN2" s="1215"/>
      <c r="AO2" s="698"/>
    </row>
    <row r="3" spans="1:41" x14ac:dyDescent="0.2">
      <c r="A3" s="1204"/>
      <c r="B3" s="1205"/>
      <c r="C3" s="1220"/>
      <c r="D3" s="1216" t="s">
        <v>825</v>
      </c>
      <c r="E3" s="1217"/>
      <c r="F3" s="1217"/>
      <c r="G3" s="1217"/>
      <c r="H3" s="1217"/>
      <c r="I3" s="1217"/>
      <c r="J3" s="1217"/>
      <c r="K3" s="1217"/>
      <c r="L3" s="1217"/>
      <c r="M3" s="1217"/>
      <c r="N3" s="1217"/>
      <c r="O3" s="1217"/>
      <c r="P3" s="1217"/>
      <c r="Q3" s="1217"/>
      <c r="R3" s="1217"/>
      <c r="S3" s="1217"/>
      <c r="T3" s="1217"/>
      <c r="U3" s="1217"/>
      <c r="V3" s="1217"/>
      <c r="W3" s="1217"/>
      <c r="X3" s="1217"/>
      <c r="Y3" s="1217"/>
      <c r="Z3" s="1217"/>
      <c r="AA3" s="1217"/>
      <c r="AB3" s="1217"/>
      <c r="AC3" s="1217"/>
      <c r="AD3" s="1217"/>
      <c r="AE3" s="1217"/>
      <c r="AF3" s="1217"/>
      <c r="AG3" s="1217"/>
      <c r="AH3" s="1217"/>
      <c r="AI3" s="1217"/>
      <c r="AJ3" s="1217"/>
      <c r="AK3" s="1217"/>
      <c r="AL3" s="1217"/>
      <c r="AM3" s="1217"/>
      <c r="AN3" s="1218"/>
      <c r="AO3" s="698"/>
    </row>
    <row r="4" spans="1:41" x14ac:dyDescent="0.2">
      <c r="A4" s="1196" t="s">
        <v>826</v>
      </c>
      <c r="B4" s="1196" t="s">
        <v>7</v>
      </c>
      <c r="C4" s="1196" t="s">
        <v>827</v>
      </c>
      <c r="D4" s="1196" t="s">
        <v>9</v>
      </c>
      <c r="E4" s="1196" t="s">
        <v>10</v>
      </c>
      <c r="F4" s="1196" t="s">
        <v>554</v>
      </c>
      <c r="G4" s="1196" t="s">
        <v>555</v>
      </c>
      <c r="H4" s="1196" t="s">
        <v>12</v>
      </c>
      <c r="I4" s="699" t="s">
        <v>16</v>
      </c>
      <c r="J4" s="699" t="s">
        <v>17</v>
      </c>
      <c r="K4" s="700" t="s">
        <v>18</v>
      </c>
      <c r="L4" s="700" t="s">
        <v>19</v>
      </c>
      <c r="M4" s="700" t="s">
        <v>19</v>
      </c>
      <c r="N4" s="699" t="s">
        <v>20</v>
      </c>
      <c r="O4" s="699" t="s">
        <v>21</v>
      </c>
      <c r="P4" s="699" t="s">
        <v>16</v>
      </c>
      <c r="Q4" s="699" t="s">
        <v>17</v>
      </c>
      <c r="R4" s="700" t="s">
        <v>18</v>
      </c>
      <c r="S4" s="700" t="s">
        <v>19</v>
      </c>
      <c r="T4" s="700" t="s">
        <v>19</v>
      </c>
      <c r="U4" s="700" t="s">
        <v>20</v>
      </c>
      <c r="V4" s="700" t="s">
        <v>21</v>
      </c>
      <c r="W4" s="699" t="s">
        <v>16</v>
      </c>
      <c r="X4" s="699" t="s">
        <v>17</v>
      </c>
      <c r="Y4" s="700" t="s">
        <v>18</v>
      </c>
      <c r="Z4" s="700" t="s">
        <v>19</v>
      </c>
      <c r="AA4" s="700" t="s">
        <v>19</v>
      </c>
      <c r="AB4" s="700" t="s">
        <v>20</v>
      </c>
      <c r="AC4" s="700" t="s">
        <v>21</v>
      </c>
      <c r="AD4" s="699" t="s">
        <v>16</v>
      </c>
      <c r="AE4" s="699" t="s">
        <v>17</v>
      </c>
      <c r="AF4" s="700" t="s">
        <v>18</v>
      </c>
      <c r="AG4" s="700" t="s">
        <v>19</v>
      </c>
      <c r="AH4" s="700" t="s">
        <v>19</v>
      </c>
      <c r="AI4" s="700" t="s">
        <v>20</v>
      </c>
      <c r="AJ4" s="700" t="s">
        <v>21</v>
      </c>
      <c r="AK4" s="699" t="s">
        <v>16</v>
      </c>
      <c r="AL4" s="701" t="s">
        <v>17</v>
      </c>
      <c r="AM4" s="702" t="s">
        <v>18</v>
      </c>
      <c r="AN4" s="1221" t="s">
        <v>488</v>
      </c>
      <c r="AO4" s="703"/>
    </row>
    <row r="5" spans="1:41" x14ac:dyDescent="0.2">
      <c r="A5" s="1197"/>
      <c r="B5" s="1197"/>
      <c r="C5" s="1197"/>
      <c r="D5" s="1197"/>
      <c r="E5" s="1197"/>
      <c r="F5" s="1197"/>
      <c r="G5" s="1197"/>
      <c r="H5" s="1197"/>
      <c r="I5" s="704">
        <v>1</v>
      </c>
      <c r="J5" s="704">
        <v>2</v>
      </c>
      <c r="K5" s="704">
        <v>3</v>
      </c>
      <c r="L5" s="704">
        <v>4</v>
      </c>
      <c r="M5" s="704">
        <v>5</v>
      </c>
      <c r="N5" s="704">
        <v>6</v>
      </c>
      <c r="O5" s="704">
        <v>7</v>
      </c>
      <c r="P5" s="704">
        <v>8</v>
      </c>
      <c r="Q5" s="704" t="s">
        <v>20</v>
      </c>
      <c r="R5" s="704">
        <v>10</v>
      </c>
      <c r="S5" s="704">
        <v>11</v>
      </c>
      <c r="T5" s="704">
        <v>12</v>
      </c>
      <c r="U5" s="704">
        <v>13</v>
      </c>
      <c r="V5" s="704">
        <v>14</v>
      </c>
      <c r="W5" s="704">
        <v>15</v>
      </c>
      <c r="X5" s="699">
        <v>16</v>
      </c>
      <c r="Y5" s="699">
        <v>17</v>
      </c>
      <c r="Z5" s="699">
        <v>18</v>
      </c>
      <c r="AA5" s="699">
        <v>19</v>
      </c>
      <c r="AB5" s="699">
        <v>20</v>
      </c>
      <c r="AC5" s="699">
        <v>21</v>
      </c>
      <c r="AD5" s="699">
        <v>22</v>
      </c>
      <c r="AE5" s="699">
        <v>23</v>
      </c>
      <c r="AF5" s="699">
        <v>24</v>
      </c>
      <c r="AG5" s="699">
        <v>25</v>
      </c>
      <c r="AH5" s="699">
        <v>26</v>
      </c>
      <c r="AI5" s="699">
        <v>27</v>
      </c>
      <c r="AJ5" s="699">
        <v>28</v>
      </c>
      <c r="AK5" s="699">
        <v>29</v>
      </c>
      <c r="AL5" s="699">
        <v>30</v>
      </c>
      <c r="AM5" s="699">
        <v>31</v>
      </c>
      <c r="AN5" s="1222"/>
      <c r="AO5" s="703"/>
    </row>
    <row r="6" spans="1:41" ht="20.399999999999999" x14ac:dyDescent="0.2">
      <c r="A6" s="705">
        <v>8953018</v>
      </c>
      <c r="B6" s="705"/>
      <c r="C6" s="705" t="s">
        <v>828</v>
      </c>
      <c r="D6" s="705" t="s">
        <v>829</v>
      </c>
      <c r="E6" s="705" t="s">
        <v>830</v>
      </c>
      <c r="F6" s="706">
        <v>0.3125</v>
      </c>
      <c r="G6" s="706">
        <v>0.5625</v>
      </c>
      <c r="H6" s="707">
        <v>75560892</v>
      </c>
      <c r="I6" s="708"/>
      <c r="J6" s="708"/>
      <c r="K6" s="709" t="s">
        <v>21</v>
      </c>
      <c r="L6" s="709" t="s">
        <v>21</v>
      </c>
      <c r="M6" s="709" t="s">
        <v>21</v>
      </c>
      <c r="N6" s="708"/>
      <c r="O6" s="708"/>
      <c r="P6" s="708"/>
      <c r="Q6" s="708"/>
      <c r="R6" s="709" t="s">
        <v>21</v>
      </c>
      <c r="S6" s="709" t="s">
        <v>21</v>
      </c>
      <c r="T6" s="709" t="s">
        <v>21</v>
      </c>
      <c r="U6" s="709" t="s">
        <v>21</v>
      </c>
      <c r="V6" s="709" t="s">
        <v>21</v>
      </c>
      <c r="W6" s="708"/>
      <c r="X6" s="708"/>
      <c r="Y6" s="709" t="s">
        <v>21</v>
      </c>
      <c r="Z6" s="709" t="s">
        <v>21</v>
      </c>
      <c r="AA6" s="710">
        <v>6</v>
      </c>
      <c r="AB6" s="711">
        <v>6</v>
      </c>
      <c r="AC6" s="711">
        <v>6</v>
      </c>
      <c r="AD6" s="708"/>
      <c r="AE6" s="708"/>
      <c r="AF6" s="711">
        <v>6</v>
      </c>
      <c r="AG6" s="711">
        <v>6</v>
      </c>
      <c r="AH6" s="711">
        <v>6</v>
      </c>
      <c r="AI6" s="711">
        <v>6</v>
      </c>
      <c r="AJ6" s="711">
        <v>6</v>
      </c>
      <c r="AK6" s="708"/>
      <c r="AL6" s="708"/>
      <c r="AM6" s="712">
        <v>6</v>
      </c>
      <c r="AN6" s="713">
        <v>54</v>
      </c>
      <c r="AO6" s="714"/>
    </row>
    <row r="7" spans="1:41" ht="20.399999999999999" x14ac:dyDescent="0.2">
      <c r="A7" s="715">
        <v>67443201</v>
      </c>
      <c r="B7" s="705" t="s">
        <v>831</v>
      </c>
      <c r="C7" s="705" t="s">
        <v>832</v>
      </c>
      <c r="D7" s="705" t="s">
        <v>833</v>
      </c>
      <c r="E7" s="705" t="s">
        <v>401</v>
      </c>
      <c r="F7" s="706">
        <v>0.3125</v>
      </c>
      <c r="G7" s="706">
        <v>0.5625</v>
      </c>
      <c r="H7" s="705">
        <v>67443201</v>
      </c>
      <c r="I7" s="708"/>
      <c r="J7" s="708"/>
      <c r="K7" s="711">
        <v>6</v>
      </c>
      <c r="L7" s="711">
        <v>6</v>
      </c>
      <c r="M7" s="711">
        <v>6</v>
      </c>
      <c r="N7" s="708"/>
      <c r="O7" s="708"/>
      <c r="P7" s="708"/>
      <c r="Q7" s="708"/>
      <c r="R7" s="711">
        <v>6</v>
      </c>
      <c r="S7" s="711">
        <v>6</v>
      </c>
      <c r="T7" s="711">
        <v>6</v>
      </c>
      <c r="U7" s="711">
        <v>6</v>
      </c>
      <c r="V7" s="711">
        <v>6</v>
      </c>
      <c r="W7" s="708"/>
      <c r="X7" s="708"/>
      <c r="Y7" s="711">
        <v>6</v>
      </c>
      <c r="Z7" s="711">
        <v>6</v>
      </c>
      <c r="AA7" s="711">
        <v>6</v>
      </c>
      <c r="AB7" s="711">
        <v>6</v>
      </c>
      <c r="AC7" s="711">
        <v>6</v>
      </c>
      <c r="AD7" s="708"/>
      <c r="AE7" s="708"/>
      <c r="AF7" s="711">
        <v>6</v>
      </c>
      <c r="AG7" s="711">
        <v>6</v>
      </c>
      <c r="AH7" s="711">
        <v>6</v>
      </c>
      <c r="AI7" s="711">
        <v>6</v>
      </c>
      <c r="AJ7" s="711">
        <v>6</v>
      </c>
      <c r="AK7" s="708"/>
      <c r="AL7" s="708"/>
      <c r="AM7" s="712">
        <v>6</v>
      </c>
      <c r="AN7" s="713">
        <v>114</v>
      </c>
      <c r="AO7" s="714"/>
    </row>
    <row r="8" spans="1:41" x14ac:dyDescent="0.2">
      <c r="A8" s="705">
        <v>4712901</v>
      </c>
      <c r="B8" s="705" t="s">
        <v>834</v>
      </c>
      <c r="C8" s="705" t="s">
        <v>835</v>
      </c>
      <c r="D8" s="705" t="s">
        <v>836</v>
      </c>
      <c r="E8" s="705" t="s">
        <v>837</v>
      </c>
      <c r="F8" s="706" t="s">
        <v>838</v>
      </c>
      <c r="G8" s="706" t="s">
        <v>839</v>
      </c>
      <c r="H8" s="705">
        <v>69137427</v>
      </c>
      <c r="I8" s="716"/>
      <c r="J8" s="708"/>
      <c r="K8" s="711">
        <v>6</v>
      </c>
      <c r="L8" s="711">
        <v>6</v>
      </c>
      <c r="M8" s="711">
        <v>6</v>
      </c>
      <c r="N8" s="708"/>
      <c r="O8" s="708"/>
      <c r="P8" s="708"/>
      <c r="Q8" s="708"/>
      <c r="R8" s="711">
        <v>6</v>
      </c>
      <c r="S8" s="711">
        <v>6</v>
      </c>
      <c r="T8" s="711">
        <v>6</v>
      </c>
      <c r="U8" s="711">
        <v>6</v>
      </c>
      <c r="V8" s="711">
        <v>6</v>
      </c>
      <c r="W8" s="708"/>
      <c r="X8" s="708"/>
      <c r="Y8" s="709" t="s">
        <v>21</v>
      </c>
      <c r="Z8" s="709" t="s">
        <v>21</v>
      </c>
      <c r="AA8" s="709" t="s">
        <v>21</v>
      </c>
      <c r="AB8" s="709" t="s">
        <v>21</v>
      </c>
      <c r="AC8" s="709" t="s">
        <v>21</v>
      </c>
      <c r="AD8" s="708"/>
      <c r="AE8" s="708"/>
      <c r="AF8" s="709" t="s">
        <v>21</v>
      </c>
      <c r="AG8" s="709" t="s">
        <v>21</v>
      </c>
      <c r="AH8" s="709" t="s">
        <v>21</v>
      </c>
      <c r="AI8" s="709" t="s">
        <v>21</v>
      </c>
      <c r="AJ8" s="709" t="s">
        <v>21</v>
      </c>
      <c r="AK8" s="708"/>
      <c r="AL8" s="708"/>
      <c r="AM8" s="712">
        <v>6</v>
      </c>
      <c r="AN8" s="713">
        <v>54</v>
      </c>
      <c r="AO8" s="714"/>
    </row>
    <row r="9" spans="1:41" x14ac:dyDescent="0.2">
      <c r="A9" s="705">
        <v>10656139</v>
      </c>
      <c r="B9" s="705" t="s">
        <v>319</v>
      </c>
      <c r="C9" s="705" t="s">
        <v>355</v>
      </c>
      <c r="D9" s="705" t="s">
        <v>840</v>
      </c>
      <c r="E9" s="706" t="s">
        <v>841</v>
      </c>
      <c r="F9" s="706">
        <v>0.3125</v>
      </c>
      <c r="G9" s="706" t="s">
        <v>839</v>
      </c>
      <c r="H9" s="707">
        <v>73378007</v>
      </c>
      <c r="I9" s="708"/>
      <c r="J9" s="708"/>
      <c r="K9" s="711">
        <v>6</v>
      </c>
      <c r="L9" s="711">
        <v>6</v>
      </c>
      <c r="M9" s="711">
        <v>6</v>
      </c>
      <c r="N9" s="708"/>
      <c r="O9" s="708"/>
      <c r="P9" s="708"/>
      <c r="Q9" s="708"/>
      <c r="R9" s="711">
        <v>6</v>
      </c>
      <c r="S9" s="711">
        <v>6</v>
      </c>
      <c r="T9" s="711">
        <v>6</v>
      </c>
      <c r="U9" s="711">
        <v>6</v>
      </c>
      <c r="V9" s="711">
        <v>6</v>
      </c>
      <c r="W9" s="708"/>
      <c r="X9" s="708"/>
      <c r="Y9" s="711">
        <v>6</v>
      </c>
      <c r="Z9" s="711">
        <v>6</v>
      </c>
      <c r="AA9" s="711">
        <v>6</v>
      </c>
      <c r="AB9" s="711">
        <v>6</v>
      </c>
      <c r="AC9" s="711">
        <v>6</v>
      </c>
      <c r="AD9" s="708"/>
      <c r="AE9" s="708"/>
      <c r="AF9" s="711">
        <v>6</v>
      </c>
      <c r="AG9" s="711">
        <v>6</v>
      </c>
      <c r="AH9" s="711">
        <v>6</v>
      </c>
      <c r="AI9" s="711">
        <v>6</v>
      </c>
      <c r="AJ9" s="711">
        <v>6</v>
      </c>
      <c r="AK9" s="708"/>
      <c r="AL9" s="708"/>
      <c r="AM9" s="712">
        <v>6</v>
      </c>
      <c r="AN9" s="713">
        <v>114</v>
      </c>
      <c r="AO9" s="714"/>
    </row>
    <row r="10" spans="1:41" x14ac:dyDescent="0.2">
      <c r="A10" s="705">
        <v>11305495</v>
      </c>
      <c r="B10" s="705" t="s">
        <v>376</v>
      </c>
      <c r="C10" s="705" t="s">
        <v>842</v>
      </c>
      <c r="D10" s="705" t="s">
        <v>843</v>
      </c>
      <c r="E10" s="705" t="s">
        <v>401</v>
      </c>
      <c r="F10" s="706">
        <v>0.5625</v>
      </c>
      <c r="G10" s="706" t="s">
        <v>844</v>
      </c>
      <c r="H10" s="717">
        <v>77007148</v>
      </c>
      <c r="I10" s="708"/>
      <c r="J10" s="708"/>
      <c r="K10" s="711">
        <v>6</v>
      </c>
      <c r="L10" s="711">
        <v>6</v>
      </c>
      <c r="M10" s="711">
        <v>6</v>
      </c>
      <c r="N10" s="708"/>
      <c r="O10" s="708"/>
      <c r="P10" s="708"/>
      <c r="Q10" s="708"/>
      <c r="R10" s="711">
        <v>6</v>
      </c>
      <c r="S10" s="711">
        <v>6</v>
      </c>
      <c r="T10" s="711">
        <v>6</v>
      </c>
      <c r="U10" s="711">
        <v>6</v>
      </c>
      <c r="V10" s="711">
        <v>6</v>
      </c>
      <c r="W10" s="708"/>
      <c r="X10" s="708"/>
      <c r="Y10" s="711">
        <v>6</v>
      </c>
      <c r="Z10" s="711">
        <v>6</v>
      </c>
      <c r="AA10" s="711">
        <v>6</v>
      </c>
      <c r="AB10" s="711">
        <v>6</v>
      </c>
      <c r="AC10" s="711">
        <v>6</v>
      </c>
      <c r="AD10" s="708"/>
      <c r="AE10" s="708"/>
      <c r="AF10" s="711">
        <v>6</v>
      </c>
      <c r="AG10" s="711">
        <v>6</v>
      </c>
      <c r="AH10" s="711">
        <v>6</v>
      </c>
      <c r="AI10" s="711">
        <v>6</v>
      </c>
      <c r="AJ10" s="711">
        <v>6</v>
      </c>
      <c r="AK10" s="708"/>
      <c r="AL10" s="708"/>
      <c r="AM10" s="712">
        <v>6</v>
      </c>
      <c r="AN10" s="713">
        <v>114</v>
      </c>
      <c r="AO10" s="714"/>
    </row>
    <row r="11" spans="1:41" x14ac:dyDescent="0.2">
      <c r="A11" s="718">
        <v>5632196</v>
      </c>
      <c r="B11" s="718" t="s">
        <v>845</v>
      </c>
      <c r="C11" s="718" t="s">
        <v>846</v>
      </c>
      <c r="D11" s="718" t="s">
        <v>847</v>
      </c>
      <c r="E11" s="718" t="s">
        <v>841</v>
      </c>
      <c r="F11" s="719">
        <v>0.5625</v>
      </c>
      <c r="G11" s="719" t="s">
        <v>844</v>
      </c>
      <c r="H11" s="720">
        <v>72678732</v>
      </c>
      <c r="I11" s="708"/>
      <c r="J11" s="708"/>
      <c r="K11" s="711">
        <v>6</v>
      </c>
      <c r="L11" s="711">
        <v>6</v>
      </c>
      <c r="M11" s="711">
        <v>6</v>
      </c>
      <c r="N11" s="708"/>
      <c r="O11" s="708"/>
      <c r="P11" s="708"/>
      <c r="Q11" s="708"/>
      <c r="R11" s="711">
        <v>6</v>
      </c>
      <c r="S11" s="711">
        <v>6</v>
      </c>
      <c r="T11" s="711">
        <v>6</v>
      </c>
      <c r="U11" s="711">
        <v>6</v>
      </c>
      <c r="V11" s="711">
        <v>6</v>
      </c>
      <c r="W11" s="708"/>
      <c r="X11" s="708"/>
      <c r="Y11" s="711">
        <v>6</v>
      </c>
      <c r="Z11" s="711">
        <v>6</v>
      </c>
      <c r="AA11" s="711">
        <v>6</v>
      </c>
      <c r="AB11" s="710">
        <v>6</v>
      </c>
      <c r="AC11" s="710">
        <v>6</v>
      </c>
      <c r="AD11" s="708"/>
      <c r="AE11" s="708"/>
      <c r="AF11" s="710">
        <v>6</v>
      </c>
      <c r="AG11" s="711">
        <v>6</v>
      </c>
      <c r="AH11" s="711">
        <v>6</v>
      </c>
      <c r="AI11" s="710">
        <v>6</v>
      </c>
      <c r="AJ11" s="710">
        <v>6</v>
      </c>
      <c r="AK11" s="708"/>
      <c r="AL11" s="708"/>
      <c r="AM11" s="721">
        <v>6</v>
      </c>
      <c r="AN11" s="713">
        <v>114</v>
      </c>
      <c r="AO11" s="722"/>
    </row>
    <row r="12" spans="1:41" ht="20.399999999999999" x14ac:dyDescent="0.2">
      <c r="A12" s="715">
        <v>5895437</v>
      </c>
      <c r="B12" s="705" t="s">
        <v>60</v>
      </c>
      <c r="C12" s="705" t="s">
        <v>769</v>
      </c>
      <c r="D12" s="705" t="s">
        <v>848</v>
      </c>
      <c r="E12" s="705" t="s">
        <v>837</v>
      </c>
      <c r="F12" s="706">
        <v>0.8125</v>
      </c>
      <c r="G12" s="706">
        <v>0.3125</v>
      </c>
      <c r="H12" s="715">
        <v>70987123</v>
      </c>
      <c r="I12" s="708">
        <v>12</v>
      </c>
      <c r="J12" s="708"/>
      <c r="K12" s="711"/>
      <c r="L12" s="711">
        <v>12</v>
      </c>
      <c r="M12" s="711"/>
      <c r="N12" s="708"/>
      <c r="O12" s="708">
        <v>12</v>
      </c>
      <c r="P12" s="708"/>
      <c r="Q12" s="708"/>
      <c r="R12" s="711">
        <v>12</v>
      </c>
      <c r="S12" s="711"/>
      <c r="T12" s="711"/>
      <c r="U12" s="711">
        <v>12</v>
      </c>
      <c r="V12" s="711"/>
      <c r="W12" s="708"/>
      <c r="X12" s="708">
        <v>12</v>
      </c>
      <c r="Y12" s="711"/>
      <c r="Z12" s="711"/>
      <c r="AA12" s="711">
        <v>12</v>
      </c>
      <c r="AB12" s="711"/>
      <c r="AC12" s="711"/>
      <c r="AD12" s="708">
        <v>12</v>
      </c>
      <c r="AE12" s="708"/>
      <c r="AF12" s="711"/>
      <c r="AG12" s="711">
        <v>12</v>
      </c>
      <c r="AH12" s="711"/>
      <c r="AI12" s="711"/>
      <c r="AJ12" s="711">
        <v>12</v>
      </c>
      <c r="AK12" s="708"/>
      <c r="AL12" s="708"/>
      <c r="AM12" s="712">
        <v>12</v>
      </c>
      <c r="AN12" s="713">
        <v>132</v>
      </c>
      <c r="AO12" s="714"/>
    </row>
    <row r="13" spans="1:41" ht="20.399999999999999" x14ac:dyDescent="0.2">
      <c r="A13" s="705">
        <v>6262332</v>
      </c>
      <c r="B13" s="705" t="s">
        <v>74</v>
      </c>
      <c r="C13" s="705" t="s">
        <v>849</v>
      </c>
      <c r="D13" s="705" t="s">
        <v>850</v>
      </c>
      <c r="E13" s="705" t="s">
        <v>841</v>
      </c>
      <c r="F13" s="706">
        <v>0.8125</v>
      </c>
      <c r="G13" s="706">
        <v>0.3125</v>
      </c>
      <c r="H13" s="717">
        <v>75618083</v>
      </c>
      <c r="I13" s="708">
        <v>12</v>
      </c>
      <c r="J13" s="708"/>
      <c r="K13" s="711"/>
      <c r="L13" s="723">
        <v>12</v>
      </c>
      <c r="M13" s="711"/>
      <c r="N13" s="708"/>
      <c r="O13" s="724" t="s">
        <v>403</v>
      </c>
      <c r="P13" s="708"/>
      <c r="Q13" s="708"/>
      <c r="R13" s="711">
        <v>12</v>
      </c>
      <c r="S13" s="711"/>
      <c r="T13" s="711"/>
      <c r="U13" s="711">
        <v>12</v>
      </c>
      <c r="V13" s="711"/>
      <c r="W13" s="708">
        <v>12</v>
      </c>
      <c r="X13" s="708">
        <v>12</v>
      </c>
      <c r="Y13" s="711"/>
      <c r="Z13" s="711"/>
      <c r="AA13" s="711">
        <v>12</v>
      </c>
      <c r="AB13" s="711"/>
      <c r="AC13" s="711"/>
      <c r="AD13" s="708">
        <v>12</v>
      </c>
      <c r="AE13" s="708"/>
      <c r="AF13" s="711"/>
      <c r="AG13" s="711">
        <v>12</v>
      </c>
      <c r="AH13" s="711"/>
      <c r="AI13" s="711"/>
      <c r="AJ13" s="711">
        <v>12</v>
      </c>
      <c r="AK13" s="708"/>
      <c r="AL13" s="708"/>
      <c r="AM13" s="712">
        <v>12</v>
      </c>
      <c r="AN13" s="713">
        <v>132</v>
      </c>
      <c r="AO13" s="725"/>
    </row>
    <row r="14" spans="1:41" x14ac:dyDescent="0.2">
      <c r="A14" s="707">
        <v>6699926</v>
      </c>
      <c r="B14" s="726" t="s">
        <v>421</v>
      </c>
      <c r="C14" s="726" t="s">
        <v>29</v>
      </c>
      <c r="D14" s="726" t="s">
        <v>851</v>
      </c>
      <c r="E14" s="705" t="s">
        <v>401</v>
      </c>
      <c r="F14" s="706">
        <v>0.8125</v>
      </c>
      <c r="G14" s="706">
        <v>0.3125</v>
      </c>
      <c r="H14" s="707">
        <v>67608080</v>
      </c>
      <c r="I14" s="708"/>
      <c r="J14" s="708">
        <v>12</v>
      </c>
      <c r="K14" s="712"/>
      <c r="L14" s="727"/>
      <c r="M14" s="728">
        <v>12</v>
      </c>
      <c r="N14" s="708"/>
      <c r="O14" s="708"/>
      <c r="P14" s="708">
        <v>12</v>
      </c>
      <c r="Q14" s="729"/>
      <c r="R14" s="711"/>
      <c r="S14" s="711">
        <v>12</v>
      </c>
      <c r="T14" s="728"/>
      <c r="U14" s="711"/>
      <c r="V14" s="711">
        <v>12</v>
      </c>
      <c r="W14" s="708"/>
      <c r="X14" s="708"/>
      <c r="Y14" s="711">
        <v>12</v>
      </c>
      <c r="Z14" s="723"/>
      <c r="AA14" s="723"/>
      <c r="AB14" s="730">
        <v>12</v>
      </c>
      <c r="AC14" s="730"/>
      <c r="AD14" s="708"/>
      <c r="AE14" s="708">
        <v>12</v>
      </c>
      <c r="AF14" s="711"/>
      <c r="AG14" s="711"/>
      <c r="AH14" s="711">
        <v>12</v>
      </c>
      <c r="AI14" s="711"/>
      <c r="AJ14" s="711"/>
      <c r="AK14" s="708">
        <v>12</v>
      </c>
      <c r="AL14" s="708"/>
      <c r="AM14" s="712"/>
      <c r="AN14" s="713">
        <v>120</v>
      </c>
      <c r="AO14" s="725"/>
    </row>
    <row r="15" spans="1:41" x14ac:dyDescent="0.2">
      <c r="A15" s="705">
        <v>6279450</v>
      </c>
      <c r="B15" s="705" t="s">
        <v>852</v>
      </c>
      <c r="C15" s="705" t="s">
        <v>853</v>
      </c>
      <c r="D15" s="705" t="s">
        <v>854</v>
      </c>
      <c r="E15" s="705" t="s">
        <v>841</v>
      </c>
      <c r="F15" s="706">
        <v>0.8125</v>
      </c>
      <c r="G15" s="706" t="s">
        <v>838</v>
      </c>
      <c r="H15" s="717">
        <v>78172173</v>
      </c>
      <c r="I15" s="708"/>
      <c r="J15" s="708">
        <v>12</v>
      </c>
      <c r="K15" s="711"/>
      <c r="L15" s="731"/>
      <c r="M15" s="711">
        <v>12</v>
      </c>
      <c r="N15" s="708"/>
      <c r="O15" s="708"/>
      <c r="P15" s="708">
        <v>12</v>
      </c>
      <c r="Q15" s="708"/>
      <c r="R15" s="711"/>
      <c r="S15" s="711">
        <v>12</v>
      </c>
      <c r="T15" s="711"/>
      <c r="U15" s="730"/>
      <c r="V15" s="730">
        <v>12</v>
      </c>
      <c r="W15" s="708"/>
      <c r="X15" s="708"/>
      <c r="Y15" s="712">
        <v>12</v>
      </c>
      <c r="Z15" s="732"/>
      <c r="AA15" s="732"/>
      <c r="AB15" s="733">
        <v>12</v>
      </c>
      <c r="AC15" s="730"/>
      <c r="AD15" s="708"/>
      <c r="AE15" s="708">
        <v>12</v>
      </c>
      <c r="AF15" s="711"/>
      <c r="AG15" s="711"/>
      <c r="AH15" s="711">
        <v>12</v>
      </c>
      <c r="AI15" s="711"/>
      <c r="AJ15" s="711"/>
      <c r="AK15" s="708">
        <v>12</v>
      </c>
      <c r="AL15" s="708"/>
      <c r="AM15" s="712"/>
      <c r="AN15" s="713">
        <v>120</v>
      </c>
      <c r="AO15" s="714"/>
    </row>
    <row r="16" spans="1:41" x14ac:dyDescent="0.2">
      <c r="A16" s="705">
        <v>9596186</v>
      </c>
      <c r="B16" s="705" t="s">
        <v>67</v>
      </c>
      <c r="C16" s="705" t="s">
        <v>576</v>
      </c>
      <c r="D16" s="705" t="s">
        <v>472</v>
      </c>
      <c r="E16" s="705" t="s">
        <v>410</v>
      </c>
      <c r="F16" s="706">
        <v>0.8125</v>
      </c>
      <c r="G16" s="706">
        <v>0.3125</v>
      </c>
      <c r="H16" s="705">
        <v>77627209</v>
      </c>
      <c r="I16" s="708"/>
      <c r="J16" s="708"/>
      <c r="K16" s="711">
        <v>12</v>
      </c>
      <c r="L16" s="711"/>
      <c r="M16" s="711"/>
      <c r="N16" s="708">
        <v>12</v>
      </c>
      <c r="O16" s="708"/>
      <c r="P16" s="708"/>
      <c r="Q16" s="708">
        <v>12</v>
      </c>
      <c r="R16" s="711"/>
      <c r="S16" s="711"/>
      <c r="T16" s="711">
        <v>12</v>
      </c>
      <c r="U16" s="711"/>
      <c r="V16" s="711"/>
      <c r="W16" s="708">
        <v>12</v>
      </c>
      <c r="X16" s="708"/>
      <c r="Y16" s="711"/>
      <c r="Z16" s="731">
        <v>12</v>
      </c>
      <c r="AA16" s="728"/>
      <c r="AB16" s="711"/>
      <c r="AC16" s="711">
        <v>12</v>
      </c>
      <c r="AD16" s="729"/>
      <c r="AE16" s="708"/>
      <c r="AF16" s="711">
        <v>12</v>
      </c>
      <c r="AG16" s="711"/>
      <c r="AH16" s="711"/>
      <c r="AI16" s="711">
        <v>12</v>
      </c>
      <c r="AJ16" s="711"/>
      <c r="AK16" s="708"/>
      <c r="AL16" s="708">
        <v>12</v>
      </c>
      <c r="AM16" s="712"/>
      <c r="AN16" s="713">
        <v>120</v>
      </c>
      <c r="AO16" s="714"/>
    </row>
    <row r="17" spans="1:41" x14ac:dyDescent="0.2">
      <c r="A17" s="734">
        <v>6309151</v>
      </c>
      <c r="B17" s="735" t="s">
        <v>855</v>
      </c>
      <c r="C17" s="735" t="s">
        <v>317</v>
      </c>
      <c r="D17" s="705" t="s">
        <v>856</v>
      </c>
      <c r="E17" s="705" t="s">
        <v>841</v>
      </c>
      <c r="F17" s="706">
        <v>0.8125</v>
      </c>
      <c r="G17" s="706">
        <v>0.3125</v>
      </c>
      <c r="H17" s="705">
        <v>79484314</v>
      </c>
      <c r="I17" s="708"/>
      <c r="J17" s="708"/>
      <c r="K17" s="711">
        <v>12</v>
      </c>
      <c r="L17" s="711"/>
      <c r="M17" s="711"/>
      <c r="N17" s="708">
        <v>12</v>
      </c>
      <c r="O17" s="708"/>
      <c r="P17" s="708"/>
      <c r="Q17" s="708">
        <v>12</v>
      </c>
      <c r="R17" s="711"/>
      <c r="S17" s="711"/>
      <c r="T17" s="711">
        <v>12</v>
      </c>
      <c r="U17" s="711"/>
      <c r="V17" s="711"/>
      <c r="W17" s="708">
        <v>12</v>
      </c>
      <c r="X17" s="736"/>
      <c r="Y17" s="711"/>
      <c r="Z17" s="711">
        <v>12</v>
      </c>
      <c r="AA17" s="711"/>
      <c r="AB17" s="711"/>
      <c r="AC17" s="711">
        <v>12</v>
      </c>
      <c r="AD17" s="708" t="s">
        <v>857</v>
      </c>
      <c r="AE17" s="708"/>
      <c r="AF17" s="711">
        <v>12</v>
      </c>
      <c r="AG17" s="711"/>
      <c r="AH17" s="711"/>
      <c r="AI17" s="711">
        <v>12</v>
      </c>
      <c r="AJ17" s="711"/>
      <c r="AK17" s="708"/>
      <c r="AL17" s="708">
        <v>12</v>
      </c>
      <c r="AM17" s="712"/>
      <c r="AN17" s="713">
        <v>120</v>
      </c>
      <c r="AO17" s="714"/>
    </row>
    <row r="18" spans="1:41" x14ac:dyDescent="0.2">
      <c r="A18" s="705">
        <v>5842012</v>
      </c>
      <c r="B18" s="705"/>
      <c r="C18" s="705" t="s">
        <v>858</v>
      </c>
      <c r="D18" s="705" t="s">
        <v>859</v>
      </c>
      <c r="E18" s="705" t="s">
        <v>841</v>
      </c>
      <c r="F18" s="706">
        <v>0.8125</v>
      </c>
      <c r="G18" s="706" t="s">
        <v>838</v>
      </c>
      <c r="H18" s="717">
        <v>77351070</v>
      </c>
      <c r="I18" s="708"/>
      <c r="J18" s="708"/>
      <c r="K18" s="711">
        <v>12</v>
      </c>
      <c r="L18" s="711"/>
      <c r="M18" s="711"/>
      <c r="N18" s="708">
        <v>12</v>
      </c>
      <c r="O18" s="708">
        <v>12</v>
      </c>
      <c r="P18" s="708"/>
      <c r="Q18" s="708">
        <v>12</v>
      </c>
      <c r="R18" s="711"/>
      <c r="S18" s="711"/>
      <c r="T18" s="711">
        <v>12</v>
      </c>
      <c r="U18" s="711"/>
      <c r="V18" s="711"/>
      <c r="W18" s="737" t="s">
        <v>403</v>
      </c>
      <c r="X18" s="738"/>
      <c r="Y18" s="739"/>
      <c r="Z18" s="709" t="s">
        <v>21</v>
      </c>
      <c r="AA18" s="709" t="s">
        <v>21</v>
      </c>
      <c r="AB18" s="709" t="s">
        <v>21</v>
      </c>
      <c r="AC18" s="709" t="s">
        <v>21</v>
      </c>
      <c r="AD18" s="709"/>
      <c r="AE18" s="709"/>
      <c r="AF18" s="709" t="s">
        <v>21</v>
      </c>
      <c r="AG18" s="709" t="s">
        <v>21</v>
      </c>
      <c r="AH18" s="709" t="s">
        <v>21</v>
      </c>
      <c r="AI18" s="709" t="s">
        <v>21</v>
      </c>
      <c r="AJ18" s="709" t="s">
        <v>21</v>
      </c>
      <c r="AK18" s="709"/>
      <c r="AL18" s="709" t="s">
        <v>21</v>
      </c>
      <c r="AM18" s="712"/>
      <c r="AN18" s="713">
        <v>60</v>
      </c>
      <c r="AO18" s="725"/>
    </row>
    <row r="19" spans="1:41" x14ac:dyDescent="0.2">
      <c r="A19" s="735">
        <v>4375155</v>
      </c>
      <c r="B19" s="735" t="s">
        <v>860</v>
      </c>
      <c r="C19" s="735" t="s">
        <v>861</v>
      </c>
      <c r="D19" s="735" t="s">
        <v>862</v>
      </c>
      <c r="E19" s="735" t="s">
        <v>410</v>
      </c>
      <c r="F19" s="740" t="s">
        <v>838</v>
      </c>
      <c r="G19" s="741" t="s">
        <v>844</v>
      </c>
      <c r="H19" s="720">
        <v>67837344</v>
      </c>
      <c r="I19" s="742">
        <v>12</v>
      </c>
      <c r="J19" s="736">
        <v>12</v>
      </c>
      <c r="K19" s="723"/>
      <c r="L19" s="723"/>
      <c r="M19" s="723"/>
      <c r="N19" s="736">
        <v>12</v>
      </c>
      <c r="O19" s="736">
        <v>12</v>
      </c>
      <c r="P19" s="736">
        <v>12</v>
      </c>
      <c r="Q19" s="736">
        <v>12</v>
      </c>
      <c r="R19" s="723"/>
      <c r="S19" s="723"/>
      <c r="T19" s="723"/>
      <c r="U19" s="723"/>
      <c r="V19" s="723"/>
      <c r="W19" s="736">
        <v>12</v>
      </c>
      <c r="X19" s="743">
        <v>12</v>
      </c>
      <c r="Y19" s="723"/>
      <c r="Z19" s="723"/>
      <c r="AA19" s="723"/>
      <c r="AB19" s="723"/>
      <c r="AC19" s="723"/>
      <c r="AD19" s="736">
        <v>12</v>
      </c>
      <c r="AE19" s="736">
        <v>12</v>
      </c>
      <c r="AF19" s="723"/>
      <c r="AG19" s="723"/>
      <c r="AH19" s="723"/>
      <c r="AI19" s="723"/>
      <c r="AJ19" s="723"/>
      <c r="AK19" s="736">
        <v>12</v>
      </c>
      <c r="AL19" s="736">
        <v>12</v>
      </c>
      <c r="AM19" s="744"/>
      <c r="AN19" s="745" t="s">
        <v>863</v>
      </c>
      <c r="AO19" s="714"/>
    </row>
    <row r="20" spans="1:41" x14ac:dyDescent="0.2">
      <c r="A20" s="705">
        <v>6246252</v>
      </c>
      <c r="B20" s="705" t="s">
        <v>90</v>
      </c>
      <c r="C20" s="705" t="s">
        <v>67</v>
      </c>
      <c r="D20" s="705" t="s">
        <v>604</v>
      </c>
      <c r="E20" s="705" t="s">
        <v>841</v>
      </c>
      <c r="F20" s="706">
        <v>0.3125</v>
      </c>
      <c r="G20" s="706" t="s">
        <v>844</v>
      </c>
      <c r="H20" s="717">
        <v>75397996</v>
      </c>
      <c r="I20" s="738">
        <v>12</v>
      </c>
      <c r="J20" s="738">
        <v>12</v>
      </c>
      <c r="K20" s="732"/>
      <c r="L20" s="732"/>
      <c r="M20" s="732"/>
      <c r="N20" s="738">
        <v>12</v>
      </c>
      <c r="O20" s="738">
        <v>12</v>
      </c>
      <c r="P20" s="738">
        <v>12</v>
      </c>
      <c r="Q20" s="738">
        <v>12</v>
      </c>
      <c r="R20" s="732"/>
      <c r="S20" s="732"/>
      <c r="T20" s="732"/>
      <c r="U20" s="732"/>
      <c r="V20" s="732"/>
      <c r="W20" s="738">
        <v>12</v>
      </c>
      <c r="X20" s="738">
        <v>12</v>
      </c>
      <c r="Y20" s="732"/>
      <c r="Z20" s="732"/>
      <c r="AA20" s="732"/>
      <c r="AB20" s="732"/>
      <c r="AC20" s="732"/>
      <c r="AD20" s="738">
        <v>12</v>
      </c>
      <c r="AE20" s="738">
        <v>12</v>
      </c>
      <c r="AF20" s="732"/>
      <c r="AG20" s="732"/>
      <c r="AH20" s="732"/>
      <c r="AI20" s="732"/>
      <c r="AJ20" s="732"/>
      <c r="AK20" s="738">
        <v>12</v>
      </c>
      <c r="AL20" s="738">
        <v>12</v>
      </c>
      <c r="AM20" s="732"/>
      <c r="AN20" s="727">
        <v>144</v>
      </c>
      <c r="AO20" s="714"/>
    </row>
    <row r="21" spans="1:41" x14ac:dyDescent="0.2">
      <c r="A21" s="1206" t="s">
        <v>53</v>
      </c>
      <c r="B21" s="1206"/>
      <c r="C21" s="1206"/>
      <c r="D21" s="1206"/>
      <c r="E21" s="1206"/>
      <c r="F21" s="1206"/>
      <c r="G21" s="1206"/>
      <c r="H21" s="1206"/>
      <c r="I21" s="746"/>
      <c r="J21" s="1200" t="s">
        <v>864</v>
      </c>
      <c r="K21" s="1200"/>
      <c r="L21" s="1200"/>
      <c r="M21" s="1200"/>
      <c r="N21" s="1200"/>
      <c r="O21" s="1200"/>
      <c r="P21" s="1200"/>
      <c r="Q21" s="1200"/>
      <c r="R21" s="1200"/>
      <c r="S21" s="1200"/>
      <c r="T21" s="1200"/>
      <c r="U21" s="1200"/>
      <c r="V21" s="1200"/>
      <c r="W21" s="1200"/>
      <c r="X21" s="1200"/>
      <c r="Y21" s="1200"/>
      <c r="Z21" s="1200"/>
      <c r="AA21" s="1200"/>
      <c r="AB21" s="1200"/>
      <c r="AC21" s="1200"/>
      <c r="AD21" s="1200"/>
      <c r="AE21" s="1200"/>
      <c r="AF21" s="1200"/>
      <c r="AG21" s="1200"/>
      <c r="AH21" s="1200"/>
      <c r="AI21" s="1200"/>
      <c r="AJ21" s="1200"/>
      <c r="AK21" s="1200"/>
      <c r="AL21" s="1200"/>
      <c r="AM21" s="1200"/>
      <c r="AN21" s="725"/>
      <c r="AO21" s="725"/>
    </row>
    <row r="22" spans="1:41" x14ac:dyDescent="0.2">
      <c r="A22" s="1198" t="s">
        <v>865</v>
      </c>
      <c r="B22" s="1198"/>
      <c r="C22" s="1198"/>
      <c r="D22" s="1198"/>
      <c r="E22" s="1198"/>
      <c r="F22" s="1198"/>
      <c r="G22" s="1198"/>
      <c r="H22" s="1198"/>
      <c r="I22" s="747"/>
      <c r="J22" s="1201" t="s">
        <v>866</v>
      </c>
      <c r="K22" s="1201"/>
      <c r="L22" s="1201"/>
      <c r="M22" s="1201"/>
      <c r="N22" s="1201"/>
      <c r="O22" s="1201"/>
      <c r="P22" s="1201"/>
      <c r="Q22" s="1201"/>
      <c r="R22" s="1201"/>
      <c r="S22" s="1201"/>
      <c r="T22" s="1201"/>
      <c r="U22" s="1201"/>
      <c r="V22" s="1201"/>
      <c r="W22" s="1201"/>
      <c r="X22" s="1201"/>
      <c r="Y22" s="1201"/>
      <c r="Z22" s="1201"/>
      <c r="AA22" s="1201"/>
      <c r="AB22" s="1201"/>
      <c r="AC22" s="1201"/>
      <c r="AD22" s="1201"/>
      <c r="AE22" s="1201"/>
      <c r="AF22" s="1201"/>
      <c r="AG22" s="1201"/>
      <c r="AH22" s="1201"/>
      <c r="AI22" s="1201"/>
      <c r="AJ22" s="1201"/>
      <c r="AK22" s="1201"/>
      <c r="AL22" s="1201"/>
      <c r="AM22" s="1201"/>
      <c r="AN22" s="747"/>
      <c r="AO22" s="725"/>
    </row>
    <row r="23" spans="1:41" x14ac:dyDescent="0.2">
      <c r="A23" s="1199" t="s">
        <v>867</v>
      </c>
      <c r="B23" s="1199"/>
      <c r="C23" s="1199"/>
      <c r="D23" s="1199"/>
      <c r="E23" s="1199"/>
      <c r="F23" s="1199"/>
      <c r="G23" s="1199"/>
      <c r="H23" s="1199"/>
      <c r="I23" s="747"/>
      <c r="J23" s="1201" t="s">
        <v>868</v>
      </c>
      <c r="K23" s="1201"/>
      <c r="L23" s="1201"/>
      <c r="M23" s="1201"/>
      <c r="N23" s="1201"/>
      <c r="O23" s="1201"/>
      <c r="P23" s="1201"/>
      <c r="Q23" s="1201"/>
      <c r="R23" s="1201"/>
      <c r="S23" s="1201"/>
      <c r="T23" s="1201"/>
      <c r="U23" s="1201"/>
      <c r="V23" s="1201"/>
      <c r="W23" s="1201"/>
      <c r="X23" s="1201"/>
      <c r="Y23" s="1201"/>
      <c r="Z23" s="1201"/>
      <c r="AA23" s="1201"/>
      <c r="AB23" s="1201"/>
      <c r="AC23" s="1201"/>
      <c r="AD23" s="1201"/>
      <c r="AE23" s="1201"/>
      <c r="AF23" s="1201"/>
      <c r="AG23" s="1201"/>
      <c r="AH23" s="1201"/>
      <c r="AI23" s="1201"/>
      <c r="AJ23" s="1201"/>
      <c r="AK23" s="1201"/>
      <c r="AL23" s="1201"/>
      <c r="AM23" s="1201"/>
      <c r="AN23" s="747"/>
      <c r="AO23" s="725"/>
    </row>
    <row r="24" spans="1:41" x14ac:dyDescent="0.2">
      <c r="A24" s="1199" t="s">
        <v>869</v>
      </c>
      <c r="B24" s="1199"/>
      <c r="C24" s="1199"/>
      <c r="D24" s="1199"/>
      <c r="E24" s="1199"/>
      <c r="F24" s="1199"/>
      <c r="G24" s="1199"/>
      <c r="H24" s="1199"/>
      <c r="I24" s="725"/>
      <c r="J24" s="1195"/>
      <c r="K24" s="1195"/>
      <c r="L24" s="1195"/>
      <c r="M24" s="1195"/>
      <c r="N24" s="1195"/>
      <c r="O24" s="1195"/>
      <c r="P24" s="1195"/>
      <c r="Q24" s="1195"/>
      <c r="R24" s="1195"/>
      <c r="S24" s="1195"/>
      <c r="T24" s="1195"/>
      <c r="U24" s="1195"/>
      <c r="V24" s="1195"/>
      <c r="W24" s="1195"/>
      <c r="X24" s="1195"/>
      <c r="Y24" s="1195"/>
      <c r="Z24" s="1195"/>
      <c r="AA24" s="1195"/>
      <c r="AB24" s="1195"/>
      <c r="AC24" s="1195"/>
      <c r="AD24" s="1195"/>
      <c r="AE24" s="1195"/>
      <c r="AF24" s="1195"/>
      <c r="AG24" s="1195"/>
      <c r="AH24" s="1195"/>
      <c r="AI24" s="1195"/>
      <c r="AJ24" s="1195"/>
      <c r="AK24" s="1195"/>
      <c r="AL24" s="1195"/>
      <c r="AM24" s="1195"/>
      <c r="AN24" s="725"/>
      <c r="AO24" s="725"/>
    </row>
    <row r="25" spans="1:41" x14ac:dyDescent="0.2">
      <c r="A25" s="725"/>
      <c r="B25" s="725"/>
      <c r="C25" s="725"/>
      <c r="D25" s="725"/>
      <c r="E25" s="725"/>
      <c r="F25" s="725"/>
      <c r="G25" s="725"/>
      <c r="H25" s="725"/>
      <c r="I25" s="725"/>
      <c r="J25" s="1195"/>
      <c r="K25" s="1195"/>
      <c r="L25" s="1195"/>
      <c r="M25" s="1195"/>
      <c r="N25" s="1195"/>
      <c r="O25" s="1195"/>
      <c r="P25" s="1195"/>
      <c r="Q25" s="1195"/>
      <c r="R25" s="1195"/>
      <c r="S25" s="1195"/>
      <c r="T25" s="1195"/>
      <c r="U25" s="1195"/>
      <c r="V25" s="1195"/>
      <c r="W25" s="1195"/>
      <c r="X25" s="1195"/>
      <c r="Y25" s="1195"/>
      <c r="Z25" s="1195"/>
      <c r="AA25" s="1195"/>
      <c r="AB25" s="1195"/>
      <c r="AC25" s="1195"/>
      <c r="AD25" s="1195"/>
      <c r="AE25" s="1195"/>
      <c r="AF25" s="1195"/>
      <c r="AG25" s="1195"/>
      <c r="AH25" s="1195"/>
      <c r="AI25" s="1195"/>
      <c r="AJ25" s="1195"/>
      <c r="AK25" s="1195"/>
      <c r="AL25" s="1195"/>
      <c r="AM25" s="1195"/>
      <c r="AN25" s="725"/>
      <c r="AO25" s="725"/>
    </row>
  </sheetData>
  <mergeCells count="24">
    <mergeCell ref="A2:B3"/>
    <mergeCell ref="A21:H21"/>
    <mergeCell ref="J23:AM23"/>
    <mergeCell ref="A1:C1"/>
    <mergeCell ref="D1:AN1"/>
    <mergeCell ref="D2:AN2"/>
    <mergeCell ref="D3:AN3"/>
    <mergeCell ref="A4:A5"/>
    <mergeCell ref="B4:B5"/>
    <mergeCell ref="C2:C3"/>
    <mergeCell ref="C4:C5"/>
    <mergeCell ref="D4:D5"/>
    <mergeCell ref="E4:E5"/>
    <mergeCell ref="F4:F5"/>
    <mergeCell ref="G4:G5"/>
    <mergeCell ref="AN4:AN5"/>
    <mergeCell ref="J24:AM24"/>
    <mergeCell ref="J25:AM25"/>
    <mergeCell ref="H4:H5"/>
    <mergeCell ref="A22:H22"/>
    <mergeCell ref="A23:H23"/>
    <mergeCell ref="A24:H24"/>
    <mergeCell ref="J21:AM21"/>
    <mergeCell ref="J22:AM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zoomScale="60" zoomScaleNormal="60" workbookViewId="0">
      <selection activeCell="F8" sqref="F8"/>
    </sheetView>
  </sheetViews>
  <sheetFormatPr baseColWidth="10" defaultRowHeight="14.4" x14ac:dyDescent="0.3"/>
  <cols>
    <col min="1" max="1" width="4.6640625" customWidth="1"/>
    <col min="2" max="5" width="18" customWidth="1"/>
    <col min="6" max="6" width="18" style="626" customWidth="1"/>
    <col min="7" max="7" width="14.5546875" customWidth="1"/>
    <col min="8" max="8" width="14" customWidth="1"/>
    <col min="9" max="9" width="13.5546875" customWidth="1"/>
    <col min="10" max="18" width="4.44140625" bestFit="1" customWidth="1"/>
    <col min="19" max="40" width="5.44140625" bestFit="1" customWidth="1"/>
  </cols>
  <sheetData>
    <row r="1" spans="1:41" ht="16.2" thickBot="1" x14ac:dyDescent="0.35">
      <c r="A1" s="1244"/>
      <c r="B1" s="1245"/>
      <c r="C1" s="1245"/>
      <c r="D1" s="1245"/>
      <c r="E1" s="1245"/>
      <c r="F1" s="1245"/>
      <c r="G1" s="1245"/>
      <c r="H1" s="1246"/>
      <c r="I1" s="1247" t="s">
        <v>193</v>
      </c>
      <c r="J1" s="1248"/>
      <c r="K1" s="1248"/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248"/>
      <c r="W1" s="1248"/>
      <c r="X1" s="1248"/>
      <c r="Y1" s="1248"/>
      <c r="Z1" s="1248"/>
      <c r="AA1" s="1248"/>
      <c r="AB1" s="1248"/>
      <c r="AC1" s="1248"/>
      <c r="AD1" s="1248"/>
      <c r="AE1" s="1248"/>
      <c r="AF1" s="1248"/>
      <c r="AG1" s="1248"/>
      <c r="AH1" s="1248"/>
      <c r="AI1" s="1248"/>
      <c r="AJ1" s="1248"/>
      <c r="AK1" s="1248"/>
      <c r="AL1" s="1248"/>
      <c r="AM1" s="1248"/>
      <c r="AN1" s="1248"/>
      <c r="AO1" s="1249"/>
    </row>
    <row r="2" spans="1:41" ht="15.6" x14ac:dyDescent="0.3">
      <c r="A2" s="179"/>
      <c r="B2" s="128" t="s">
        <v>870</v>
      </c>
      <c r="C2" s="129" t="s">
        <v>871</v>
      </c>
      <c r="D2" s="130"/>
      <c r="E2" s="131"/>
      <c r="F2" s="748"/>
      <c r="G2" s="126"/>
      <c r="H2" s="127"/>
      <c r="I2" s="1250" t="s">
        <v>872</v>
      </c>
      <c r="J2" s="1251"/>
      <c r="K2" s="1251"/>
      <c r="L2" s="1251"/>
      <c r="M2" s="1251"/>
      <c r="N2" s="1251"/>
      <c r="O2" s="1251"/>
      <c r="P2" s="1251"/>
      <c r="Q2" s="1251"/>
      <c r="R2" s="1251"/>
      <c r="S2" s="1251"/>
      <c r="T2" s="1251"/>
      <c r="U2" s="1251"/>
      <c r="V2" s="1251"/>
      <c r="W2" s="1251"/>
      <c r="X2" s="1251"/>
      <c r="Y2" s="1251"/>
      <c r="Z2" s="1251"/>
      <c r="AA2" s="1251"/>
      <c r="AB2" s="1251"/>
      <c r="AC2" s="1251"/>
      <c r="AD2" s="1251"/>
      <c r="AE2" s="1251"/>
      <c r="AF2" s="1251"/>
      <c r="AG2" s="1251"/>
      <c r="AH2" s="1251"/>
      <c r="AI2" s="1251"/>
      <c r="AJ2" s="1251"/>
      <c r="AK2" s="1251"/>
      <c r="AL2" s="1251"/>
      <c r="AM2" s="1251"/>
      <c r="AN2" s="1251"/>
      <c r="AO2" s="1252"/>
    </row>
    <row r="3" spans="1:41" ht="16.2" thickBot="1" x14ac:dyDescent="0.35">
      <c r="A3" s="180"/>
      <c r="B3" s="1253" t="s">
        <v>873</v>
      </c>
      <c r="C3" s="1254"/>
      <c r="D3" s="1254"/>
      <c r="E3" s="132">
        <v>2026</v>
      </c>
      <c r="F3" s="749"/>
      <c r="G3" s="133"/>
      <c r="H3" s="133"/>
      <c r="I3" s="1255" t="s">
        <v>874</v>
      </c>
      <c r="J3" s="1256"/>
      <c r="K3" s="1256"/>
      <c r="L3" s="1256"/>
      <c r="M3" s="1256"/>
      <c r="N3" s="1256"/>
      <c r="O3" s="1256"/>
      <c r="P3" s="1256"/>
      <c r="Q3" s="1256"/>
      <c r="R3" s="1256"/>
      <c r="S3" s="1256"/>
      <c r="T3" s="1256"/>
      <c r="U3" s="1256"/>
      <c r="V3" s="1256"/>
      <c r="W3" s="1256"/>
      <c r="X3" s="1256"/>
      <c r="Y3" s="1256"/>
      <c r="Z3" s="1256"/>
      <c r="AA3" s="1256"/>
      <c r="AB3" s="1256"/>
      <c r="AC3" s="1256"/>
      <c r="AD3" s="1256"/>
      <c r="AE3" s="1256"/>
      <c r="AF3" s="1256"/>
      <c r="AG3" s="1256"/>
      <c r="AH3" s="1256"/>
      <c r="AI3" s="1256"/>
      <c r="AJ3" s="1256"/>
      <c r="AK3" s="1256"/>
      <c r="AL3" s="1256"/>
      <c r="AM3" s="1256"/>
      <c r="AN3" s="1256"/>
      <c r="AO3" s="1257"/>
    </row>
    <row r="4" spans="1:41" ht="15.6" x14ac:dyDescent="0.3">
      <c r="A4" s="1240" t="s">
        <v>875</v>
      </c>
      <c r="B4" s="1242" t="s">
        <v>126</v>
      </c>
      <c r="C4" s="1234" t="s">
        <v>127</v>
      </c>
      <c r="D4" s="1234" t="s">
        <v>8</v>
      </c>
      <c r="E4" s="1238" t="s">
        <v>9</v>
      </c>
      <c r="F4" s="1234" t="s">
        <v>10</v>
      </c>
      <c r="G4" s="1236" t="s">
        <v>12</v>
      </c>
      <c r="H4" s="1232" t="s">
        <v>876</v>
      </c>
      <c r="I4" s="1227" t="s">
        <v>877</v>
      </c>
      <c r="J4" s="134">
        <v>1</v>
      </c>
      <c r="K4" s="134">
        <v>2</v>
      </c>
      <c r="L4" s="134">
        <v>3</v>
      </c>
      <c r="M4" s="134">
        <v>4</v>
      </c>
      <c r="N4" s="134">
        <v>5</v>
      </c>
      <c r="O4" s="134">
        <v>6</v>
      </c>
      <c r="P4" s="134">
        <v>7</v>
      </c>
      <c r="Q4" s="134">
        <v>8</v>
      </c>
      <c r="R4" s="134">
        <v>9</v>
      </c>
      <c r="S4" s="134">
        <v>10</v>
      </c>
      <c r="T4" s="134">
        <v>11</v>
      </c>
      <c r="U4" s="134">
        <v>12</v>
      </c>
      <c r="V4" s="134">
        <v>13</v>
      </c>
      <c r="W4" s="134">
        <v>14</v>
      </c>
      <c r="X4" s="134">
        <v>15</v>
      </c>
      <c r="Y4" s="134">
        <v>16</v>
      </c>
      <c r="Z4" s="134">
        <v>17</v>
      </c>
      <c r="AA4" s="134">
        <v>18</v>
      </c>
      <c r="AB4" s="134">
        <v>19</v>
      </c>
      <c r="AC4" s="134">
        <v>20</v>
      </c>
      <c r="AD4" s="134">
        <v>21</v>
      </c>
      <c r="AE4" s="134">
        <v>22</v>
      </c>
      <c r="AF4" s="134">
        <v>23</v>
      </c>
      <c r="AG4" s="134">
        <v>24</v>
      </c>
      <c r="AH4" s="134">
        <v>25</v>
      </c>
      <c r="AI4" s="134">
        <v>26</v>
      </c>
      <c r="AJ4" s="134">
        <v>27</v>
      </c>
      <c r="AK4" s="160">
        <v>28</v>
      </c>
      <c r="AL4" s="134">
        <v>29</v>
      </c>
      <c r="AM4" s="160">
        <v>30</v>
      </c>
      <c r="AN4" s="160">
        <v>31</v>
      </c>
      <c r="AO4" s="135" t="s">
        <v>198</v>
      </c>
    </row>
    <row r="5" spans="1:41" ht="15.6" x14ac:dyDescent="0.3">
      <c r="A5" s="1241"/>
      <c r="B5" s="1243"/>
      <c r="C5" s="1235"/>
      <c r="D5" s="1235"/>
      <c r="E5" s="1239"/>
      <c r="F5" s="1235"/>
      <c r="G5" s="1237"/>
      <c r="H5" s="1233"/>
      <c r="I5" s="1227"/>
      <c r="J5" s="136" t="s">
        <v>16</v>
      </c>
      <c r="K5" s="136" t="s">
        <v>17</v>
      </c>
      <c r="L5" s="137" t="s">
        <v>18</v>
      </c>
      <c r="M5" s="137" t="s">
        <v>19</v>
      </c>
      <c r="N5" s="137" t="s">
        <v>19</v>
      </c>
      <c r="O5" s="136" t="s">
        <v>20</v>
      </c>
      <c r="P5" s="136" t="s">
        <v>21</v>
      </c>
      <c r="Q5" s="136" t="s">
        <v>16</v>
      </c>
      <c r="R5" s="136" t="s">
        <v>17</v>
      </c>
      <c r="S5" s="137" t="s">
        <v>18</v>
      </c>
      <c r="T5" s="137" t="s">
        <v>19</v>
      </c>
      <c r="U5" s="137" t="s">
        <v>19</v>
      </c>
      <c r="V5" s="137" t="s">
        <v>20</v>
      </c>
      <c r="W5" s="137" t="s">
        <v>21</v>
      </c>
      <c r="X5" s="136" t="s">
        <v>16</v>
      </c>
      <c r="Y5" s="136" t="s">
        <v>17</v>
      </c>
      <c r="Z5" s="137" t="s">
        <v>18</v>
      </c>
      <c r="AA5" s="137" t="s">
        <v>19</v>
      </c>
      <c r="AB5" s="137" t="s">
        <v>19</v>
      </c>
      <c r="AC5" s="137" t="s">
        <v>20</v>
      </c>
      <c r="AD5" s="137" t="s">
        <v>21</v>
      </c>
      <c r="AE5" s="136" t="s">
        <v>16</v>
      </c>
      <c r="AF5" s="136" t="s">
        <v>17</v>
      </c>
      <c r="AG5" s="137" t="s">
        <v>18</v>
      </c>
      <c r="AH5" s="137" t="s">
        <v>19</v>
      </c>
      <c r="AI5" s="137" t="s">
        <v>19</v>
      </c>
      <c r="AJ5" s="138" t="s">
        <v>20</v>
      </c>
      <c r="AK5" s="138" t="s">
        <v>21</v>
      </c>
      <c r="AL5" s="136" t="s">
        <v>16</v>
      </c>
      <c r="AM5" s="136" t="s">
        <v>17</v>
      </c>
      <c r="AN5" s="137" t="s">
        <v>18</v>
      </c>
      <c r="AO5" s="139"/>
    </row>
    <row r="6" spans="1:41" ht="15.6" x14ac:dyDescent="0.3">
      <c r="A6" s="1228"/>
      <c r="B6" s="1229"/>
      <c r="C6" s="1229"/>
      <c r="D6" s="1229"/>
      <c r="E6" s="1229"/>
      <c r="F6" s="1229"/>
      <c r="G6" s="1229"/>
      <c r="H6" s="1229"/>
      <c r="I6" s="1229"/>
      <c r="J6" s="1230"/>
      <c r="K6" s="1230"/>
      <c r="L6" s="1230"/>
      <c r="M6" s="1230"/>
      <c r="N6" s="1230"/>
      <c r="O6" s="1230"/>
      <c r="P6" s="1230"/>
      <c r="Q6" s="1230"/>
      <c r="R6" s="1230"/>
      <c r="S6" s="1230"/>
      <c r="T6" s="1230"/>
      <c r="U6" s="1230"/>
      <c r="V6" s="1230"/>
      <c r="W6" s="1230"/>
      <c r="X6" s="1230"/>
      <c r="Y6" s="1230"/>
      <c r="Z6" s="1230"/>
      <c r="AA6" s="1230"/>
      <c r="AB6" s="1230"/>
      <c r="AC6" s="1230"/>
      <c r="AD6" s="1230"/>
      <c r="AE6" s="1230"/>
      <c r="AF6" s="1230"/>
      <c r="AG6" s="1230"/>
      <c r="AH6" s="1230"/>
      <c r="AI6" s="1230"/>
      <c r="AJ6" s="1230"/>
      <c r="AK6" s="1230"/>
      <c r="AL6" s="1231"/>
      <c r="AM6" s="161"/>
      <c r="AN6" s="161"/>
      <c r="AO6" s="171"/>
    </row>
    <row r="7" spans="1:41" s="630" customFormat="1" ht="31.2" x14ac:dyDescent="0.3">
      <c r="A7" s="757">
        <v>1</v>
      </c>
      <c r="B7" s="758" t="s">
        <v>878</v>
      </c>
      <c r="C7" s="759" t="s">
        <v>879</v>
      </c>
      <c r="D7" s="759" t="s">
        <v>445</v>
      </c>
      <c r="E7" s="759" t="s">
        <v>880</v>
      </c>
      <c r="F7" s="750" t="s">
        <v>881</v>
      </c>
      <c r="G7" s="760">
        <v>78524170</v>
      </c>
      <c r="H7" s="142">
        <v>0.33333333333333331</v>
      </c>
      <c r="I7" s="142" t="s">
        <v>882</v>
      </c>
      <c r="J7" s="147"/>
      <c r="K7" s="147"/>
      <c r="L7" s="143">
        <v>6</v>
      </c>
      <c r="M7" s="143">
        <v>6</v>
      </c>
      <c r="N7" s="143">
        <v>6</v>
      </c>
      <c r="O7" s="147"/>
      <c r="P7" s="147"/>
      <c r="Q7" s="147"/>
      <c r="R7" s="147"/>
      <c r="S7" s="143">
        <v>6</v>
      </c>
      <c r="T7" s="143">
        <v>6</v>
      </c>
      <c r="U7" s="143">
        <v>6</v>
      </c>
      <c r="V7" s="143">
        <v>6</v>
      </c>
      <c r="W7" s="143">
        <v>6</v>
      </c>
      <c r="X7" s="147"/>
      <c r="Y7" s="147"/>
      <c r="Z7" s="143">
        <v>6</v>
      </c>
      <c r="AA7" s="143">
        <v>6</v>
      </c>
      <c r="AB7" s="143">
        <v>6</v>
      </c>
      <c r="AC7" s="143">
        <v>6</v>
      </c>
      <c r="AD7" s="143">
        <v>6</v>
      </c>
      <c r="AE7" s="147"/>
      <c r="AF7" s="147"/>
      <c r="AG7" s="143">
        <v>6</v>
      </c>
      <c r="AH7" s="143">
        <v>6</v>
      </c>
      <c r="AI7" s="143">
        <v>6</v>
      </c>
      <c r="AJ7" s="143">
        <v>6</v>
      </c>
      <c r="AK7" s="143">
        <v>6</v>
      </c>
      <c r="AL7" s="147"/>
      <c r="AM7" s="147"/>
      <c r="AN7" s="143">
        <v>6</v>
      </c>
      <c r="AO7" s="141">
        <v>114</v>
      </c>
    </row>
    <row r="8" spans="1:41" s="630" customFormat="1" ht="31.2" x14ac:dyDescent="0.3">
      <c r="A8" s="757">
        <v>2</v>
      </c>
      <c r="B8" s="761" t="s">
        <v>883</v>
      </c>
      <c r="C8" s="762" t="s">
        <v>884</v>
      </c>
      <c r="D8" s="762" t="s">
        <v>885</v>
      </c>
      <c r="E8" s="762" t="s">
        <v>886</v>
      </c>
      <c r="F8" s="763" t="s">
        <v>887</v>
      </c>
      <c r="G8" s="764" t="s">
        <v>888</v>
      </c>
      <c r="H8" s="142">
        <v>0.33333333333333331</v>
      </c>
      <c r="I8" s="142" t="s">
        <v>882</v>
      </c>
      <c r="J8" s="147"/>
      <c r="K8" s="147"/>
      <c r="L8" s="143">
        <v>6</v>
      </c>
      <c r="M8" s="143">
        <v>6</v>
      </c>
      <c r="N8" s="143">
        <v>6</v>
      </c>
      <c r="O8" s="147"/>
      <c r="P8" s="147"/>
      <c r="Q8" s="147"/>
      <c r="R8" s="147"/>
      <c r="S8" s="143">
        <v>6</v>
      </c>
      <c r="T8" s="143">
        <v>6</v>
      </c>
      <c r="U8" s="143">
        <v>6</v>
      </c>
      <c r="V8" s="143">
        <v>6</v>
      </c>
      <c r="W8" s="143">
        <v>6</v>
      </c>
      <c r="X8" s="147"/>
      <c r="Y8" s="147"/>
      <c r="Z8" s="143">
        <v>6</v>
      </c>
      <c r="AA8" s="143">
        <v>6</v>
      </c>
      <c r="AB8" s="143">
        <v>6</v>
      </c>
      <c r="AC8" s="143">
        <v>6</v>
      </c>
      <c r="AD8" s="143">
        <v>6</v>
      </c>
      <c r="AE8" s="147"/>
      <c r="AF8" s="147"/>
      <c r="AG8" s="143">
        <v>6</v>
      </c>
      <c r="AH8" s="143">
        <v>6</v>
      </c>
      <c r="AI8" s="143">
        <v>6</v>
      </c>
      <c r="AJ8" s="143">
        <v>6</v>
      </c>
      <c r="AK8" s="143">
        <v>6</v>
      </c>
      <c r="AL8" s="147"/>
      <c r="AM8" s="147"/>
      <c r="AN8" s="143">
        <v>6</v>
      </c>
      <c r="AO8" s="141">
        <v>114</v>
      </c>
    </row>
    <row r="9" spans="1:41" s="630" customFormat="1" ht="31.2" x14ac:dyDescent="0.3">
      <c r="A9" s="757">
        <v>3</v>
      </c>
      <c r="B9" s="157" t="s">
        <v>889</v>
      </c>
      <c r="C9" s="144" t="s">
        <v>890</v>
      </c>
      <c r="D9" s="144" t="s">
        <v>891</v>
      </c>
      <c r="E9" s="174" t="s">
        <v>892</v>
      </c>
      <c r="F9" s="751" t="s">
        <v>893</v>
      </c>
      <c r="G9" s="148">
        <v>76634921</v>
      </c>
      <c r="H9" s="140">
        <v>0.35416666666666669</v>
      </c>
      <c r="I9" s="140" t="s">
        <v>560</v>
      </c>
      <c r="J9" s="147"/>
      <c r="K9" s="147"/>
      <c r="L9" s="143">
        <v>5</v>
      </c>
      <c r="M9" s="143">
        <v>5</v>
      </c>
      <c r="N9" s="143">
        <v>5</v>
      </c>
      <c r="O9" s="147"/>
      <c r="P9" s="147"/>
      <c r="Q9" s="147"/>
      <c r="R9" s="147"/>
      <c r="S9" s="143">
        <v>5</v>
      </c>
      <c r="T9" s="143">
        <v>5</v>
      </c>
      <c r="U9" s="143">
        <v>5</v>
      </c>
      <c r="V9" s="143">
        <v>5</v>
      </c>
      <c r="W9" s="143">
        <v>5</v>
      </c>
      <c r="X9" s="147"/>
      <c r="Y9" s="147"/>
      <c r="Z9" s="143">
        <v>5</v>
      </c>
      <c r="AA9" s="143">
        <v>5</v>
      </c>
      <c r="AB9" s="143">
        <v>5</v>
      </c>
      <c r="AC9" s="143">
        <v>5</v>
      </c>
      <c r="AD9" s="143">
        <v>5</v>
      </c>
      <c r="AE9" s="147"/>
      <c r="AF9" s="147"/>
      <c r="AG9" s="143">
        <v>5</v>
      </c>
      <c r="AH9" s="143">
        <v>5</v>
      </c>
      <c r="AI9" s="143">
        <v>5</v>
      </c>
      <c r="AJ9" s="143">
        <v>5</v>
      </c>
      <c r="AK9" s="143">
        <v>5</v>
      </c>
      <c r="AL9" s="147"/>
      <c r="AM9" s="147"/>
      <c r="AN9" s="143">
        <v>5</v>
      </c>
      <c r="AO9" s="141">
        <v>95</v>
      </c>
    </row>
    <row r="10" spans="1:41" s="630" customFormat="1" ht="31.2" x14ac:dyDescent="0.3">
      <c r="A10" s="757">
        <v>4</v>
      </c>
      <c r="B10" s="758" t="s">
        <v>894</v>
      </c>
      <c r="C10" s="760" t="s">
        <v>895</v>
      </c>
      <c r="D10" s="760" t="s">
        <v>896</v>
      </c>
      <c r="E10" s="760" t="s">
        <v>604</v>
      </c>
      <c r="F10" s="191" t="s">
        <v>897</v>
      </c>
      <c r="G10" s="765" t="s">
        <v>898</v>
      </c>
      <c r="H10" s="140">
        <v>0.3125</v>
      </c>
      <c r="I10" s="140" t="s">
        <v>560</v>
      </c>
      <c r="J10" s="147"/>
      <c r="K10" s="147"/>
      <c r="L10" s="143">
        <v>6</v>
      </c>
      <c r="M10" s="143">
        <v>6</v>
      </c>
      <c r="N10" s="143">
        <v>6</v>
      </c>
      <c r="O10" s="147"/>
      <c r="P10" s="147"/>
      <c r="Q10" s="147"/>
      <c r="R10" s="147"/>
      <c r="S10" s="143">
        <v>6</v>
      </c>
      <c r="T10" s="143">
        <v>6</v>
      </c>
      <c r="U10" s="143">
        <v>6</v>
      </c>
      <c r="V10" s="143">
        <v>6</v>
      </c>
      <c r="W10" s="143">
        <v>6</v>
      </c>
      <c r="X10" s="147"/>
      <c r="Y10" s="147"/>
      <c r="Z10" s="143">
        <v>6</v>
      </c>
      <c r="AA10" s="143">
        <v>6</v>
      </c>
      <c r="AB10" s="143">
        <v>6</v>
      </c>
      <c r="AC10" s="143">
        <v>6</v>
      </c>
      <c r="AD10" s="143">
        <v>6</v>
      </c>
      <c r="AE10" s="147"/>
      <c r="AF10" s="147"/>
      <c r="AG10" s="143">
        <v>6</v>
      </c>
      <c r="AH10" s="143">
        <v>6</v>
      </c>
      <c r="AI10" s="143">
        <v>6</v>
      </c>
      <c r="AJ10" s="143">
        <v>6</v>
      </c>
      <c r="AK10" s="143">
        <v>6</v>
      </c>
      <c r="AL10" s="147"/>
      <c r="AM10" s="147"/>
      <c r="AN10" s="143">
        <v>6</v>
      </c>
      <c r="AO10" s="141">
        <v>114</v>
      </c>
    </row>
    <row r="11" spans="1:41" s="630" customFormat="1" ht="31.2" x14ac:dyDescent="0.3">
      <c r="A11" s="757">
        <v>5</v>
      </c>
      <c r="B11" s="172" t="s">
        <v>899</v>
      </c>
      <c r="C11" s="766" t="s">
        <v>29</v>
      </c>
      <c r="D11" s="172" t="s">
        <v>108</v>
      </c>
      <c r="E11" s="766" t="s">
        <v>900</v>
      </c>
      <c r="F11" s="767" t="s">
        <v>897</v>
      </c>
      <c r="G11" s="768" t="s">
        <v>901</v>
      </c>
      <c r="H11" s="140">
        <v>0.3125</v>
      </c>
      <c r="I11" s="140" t="s">
        <v>560</v>
      </c>
      <c r="J11" s="145"/>
      <c r="K11" s="145"/>
      <c r="L11" s="143">
        <v>6</v>
      </c>
      <c r="M11" s="143">
        <v>6</v>
      </c>
      <c r="N11" s="143">
        <v>6</v>
      </c>
      <c r="O11" s="147"/>
      <c r="P11" s="147"/>
      <c r="Q11" s="145"/>
      <c r="R11" s="145"/>
      <c r="S11" s="143">
        <v>6</v>
      </c>
      <c r="T11" s="143">
        <v>6</v>
      </c>
      <c r="U11" s="143">
        <v>6</v>
      </c>
      <c r="V11" s="143">
        <v>6</v>
      </c>
      <c r="W11" s="143">
        <v>6</v>
      </c>
      <c r="X11" s="145"/>
      <c r="Y11" s="145"/>
      <c r="Z11" s="143">
        <v>6</v>
      </c>
      <c r="AA11" s="143">
        <v>6</v>
      </c>
      <c r="AB11" s="143">
        <v>6</v>
      </c>
      <c r="AC11" s="143">
        <v>6</v>
      </c>
      <c r="AD11" s="143">
        <v>6</v>
      </c>
      <c r="AE11" s="145"/>
      <c r="AF11" s="145"/>
      <c r="AG11" s="143">
        <v>6</v>
      </c>
      <c r="AH11" s="143">
        <v>6</v>
      </c>
      <c r="AI11" s="143">
        <v>6</v>
      </c>
      <c r="AJ11" s="143">
        <v>6</v>
      </c>
      <c r="AK11" s="143">
        <v>6</v>
      </c>
      <c r="AL11" s="145"/>
      <c r="AM11" s="145"/>
      <c r="AN11" s="143">
        <v>6</v>
      </c>
      <c r="AO11" s="141">
        <v>114</v>
      </c>
    </row>
    <row r="12" spans="1:41" s="630" customFormat="1" ht="31.2" x14ac:dyDescent="0.3">
      <c r="A12" s="757">
        <v>6</v>
      </c>
      <c r="B12" s="148" t="s">
        <v>902</v>
      </c>
      <c r="C12" s="148" t="s">
        <v>903</v>
      </c>
      <c r="D12" s="148" t="s">
        <v>904</v>
      </c>
      <c r="E12" s="148" t="s">
        <v>905</v>
      </c>
      <c r="F12" s="753" t="s">
        <v>897</v>
      </c>
      <c r="G12" s="765" t="s">
        <v>906</v>
      </c>
      <c r="H12" s="140">
        <v>0.3125</v>
      </c>
      <c r="I12" s="140" t="s">
        <v>560</v>
      </c>
      <c r="J12" s="145"/>
      <c r="K12" s="145"/>
      <c r="L12" s="143">
        <v>6</v>
      </c>
      <c r="M12" s="143">
        <v>6</v>
      </c>
      <c r="N12" s="143">
        <v>6</v>
      </c>
      <c r="O12" s="147"/>
      <c r="P12" s="147"/>
      <c r="Q12" s="145"/>
      <c r="R12" s="145"/>
      <c r="S12" s="143">
        <v>6</v>
      </c>
      <c r="T12" s="143">
        <v>6</v>
      </c>
      <c r="U12" s="143">
        <v>6</v>
      </c>
      <c r="V12" s="143">
        <v>6</v>
      </c>
      <c r="W12" s="143">
        <v>6</v>
      </c>
      <c r="X12" s="145"/>
      <c r="Y12" s="145"/>
      <c r="Z12" s="143">
        <v>6</v>
      </c>
      <c r="AA12" s="143">
        <v>6</v>
      </c>
      <c r="AB12" s="143">
        <v>6</v>
      </c>
      <c r="AC12" s="143">
        <v>6</v>
      </c>
      <c r="AD12" s="143">
        <v>6</v>
      </c>
      <c r="AE12" s="145"/>
      <c r="AF12" s="145"/>
      <c r="AG12" s="143">
        <v>6</v>
      </c>
      <c r="AH12" s="143">
        <v>6</v>
      </c>
      <c r="AI12" s="143">
        <v>6</v>
      </c>
      <c r="AJ12" s="143">
        <v>6</v>
      </c>
      <c r="AK12" s="143">
        <v>6</v>
      </c>
      <c r="AL12" s="145"/>
      <c r="AM12" s="145"/>
      <c r="AN12" s="143">
        <v>6</v>
      </c>
      <c r="AO12" s="141">
        <v>114</v>
      </c>
    </row>
    <row r="13" spans="1:41" s="630" customFormat="1" ht="31.2" x14ac:dyDescent="0.3">
      <c r="A13" s="757">
        <v>7</v>
      </c>
      <c r="B13" s="148" t="s">
        <v>907</v>
      </c>
      <c r="C13" s="148" t="s">
        <v>908</v>
      </c>
      <c r="D13" s="148" t="s">
        <v>561</v>
      </c>
      <c r="E13" s="148" t="s">
        <v>909</v>
      </c>
      <c r="F13" s="753" t="s">
        <v>897</v>
      </c>
      <c r="G13" s="769" t="s">
        <v>910</v>
      </c>
      <c r="H13" s="140">
        <v>0.3125</v>
      </c>
      <c r="I13" s="140" t="s">
        <v>560</v>
      </c>
      <c r="J13" s="145"/>
      <c r="K13" s="145"/>
      <c r="L13" s="143">
        <v>6</v>
      </c>
      <c r="M13" s="143">
        <v>6</v>
      </c>
      <c r="N13" s="143">
        <v>6</v>
      </c>
      <c r="O13" s="147"/>
      <c r="P13" s="147"/>
      <c r="Q13" s="145"/>
      <c r="R13" s="145"/>
      <c r="S13" s="143">
        <v>6</v>
      </c>
      <c r="T13" s="143">
        <v>6</v>
      </c>
      <c r="U13" s="143">
        <v>6</v>
      </c>
      <c r="V13" s="143">
        <v>6</v>
      </c>
      <c r="W13" s="143">
        <v>6</v>
      </c>
      <c r="X13" s="145"/>
      <c r="Y13" s="145"/>
      <c r="Z13" s="143">
        <v>6</v>
      </c>
      <c r="AA13" s="143">
        <v>6</v>
      </c>
      <c r="AB13" s="143">
        <v>6</v>
      </c>
      <c r="AC13" s="143">
        <v>6</v>
      </c>
      <c r="AD13" s="143">
        <v>6</v>
      </c>
      <c r="AE13" s="145"/>
      <c r="AF13" s="145"/>
      <c r="AG13" s="143">
        <v>6</v>
      </c>
      <c r="AH13" s="143">
        <v>6</v>
      </c>
      <c r="AI13" s="143">
        <v>6</v>
      </c>
      <c r="AJ13" s="143">
        <v>6</v>
      </c>
      <c r="AK13" s="143">
        <v>6</v>
      </c>
      <c r="AL13" s="145"/>
      <c r="AM13" s="145"/>
      <c r="AN13" s="143">
        <v>6</v>
      </c>
      <c r="AO13" s="141">
        <v>114</v>
      </c>
    </row>
    <row r="14" spans="1:41" s="630" customFormat="1" ht="31.2" x14ac:dyDescent="0.3">
      <c r="A14" s="757">
        <v>8</v>
      </c>
      <c r="B14" s="148" t="s">
        <v>911</v>
      </c>
      <c r="C14" s="148" t="s">
        <v>796</v>
      </c>
      <c r="D14" s="770" t="s">
        <v>248</v>
      </c>
      <c r="E14" s="148" t="s">
        <v>912</v>
      </c>
      <c r="F14" s="753" t="s">
        <v>897</v>
      </c>
      <c r="G14" s="769" t="s">
        <v>913</v>
      </c>
      <c r="H14" s="140">
        <v>0.3125</v>
      </c>
      <c r="I14" s="140" t="s">
        <v>560</v>
      </c>
      <c r="J14" s="147"/>
      <c r="K14" s="147"/>
      <c r="L14" s="143">
        <v>6</v>
      </c>
      <c r="M14" s="143">
        <v>6</v>
      </c>
      <c r="N14" s="143">
        <v>6</v>
      </c>
      <c r="O14" s="147"/>
      <c r="P14" s="147"/>
      <c r="Q14" s="147"/>
      <c r="R14" s="147"/>
      <c r="S14" s="143">
        <v>6</v>
      </c>
      <c r="T14" s="143">
        <v>6</v>
      </c>
      <c r="U14" s="143">
        <v>6</v>
      </c>
      <c r="V14" s="143">
        <v>6</v>
      </c>
      <c r="W14" s="143">
        <v>6</v>
      </c>
      <c r="X14" s="147"/>
      <c r="Y14" s="147"/>
      <c r="Z14" s="143">
        <v>6</v>
      </c>
      <c r="AA14" s="143">
        <v>6</v>
      </c>
      <c r="AB14" s="143">
        <v>6</v>
      </c>
      <c r="AC14" s="143">
        <v>6</v>
      </c>
      <c r="AD14" s="143">
        <v>6</v>
      </c>
      <c r="AE14" s="147"/>
      <c r="AF14" s="147"/>
      <c r="AG14" s="143">
        <v>6</v>
      </c>
      <c r="AH14" s="143">
        <v>6</v>
      </c>
      <c r="AI14" s="143">
        <v>6</v>
      </c>
      <c r="AJ14" s="143">
        <v>6</v>
      </c>
      <c r="AK14" s="143">
        <v>6</v>
      </c>
      <c r="AL14" s="147"/>
      <c r="AM14" s="147"/>
      <c r="AN14" s="143">
        <v>6</v>
      </c>
      <c r="AO14" s="141">
        <v>114</v>
      </c>
    </row>
    <row r="15" spans="1:41" s="630" customFormat="1" ht="31.2" x14ac:dyDescent="0.3">
      <c r="A15" s="757">
        <v>9</v>
      </c>
      <c r="B15" s="760">
        <v>8219865</v>
      </c>
      <c r="C15" s="771" t="s">
        <v>444</v>
      </c>
      <c r="D15" s="771" t="s">
        <v>248</v>
      </c>
      <c r="E15" s="760" t="s">
        <v>914</v>
      </c>
      <c r="F15" s="772" t="s">
        <v>897</v>
      </c>
      <c r="G15" s="771">
        <v>78482072</v>
      </c>
      <c r="H15" s="140">
        <v>0.3125</v>
      </c>
      <c r="I15" s="140" t="s">
        <v>560</v>
      </c>
      <c r="J15" s="147"/>
      <c r="K15" s="147"/>
      <c r="L15" s="143">
        <v>6</v>
      </c>
      <c r="M15" s="143">
        <v>6</v>
      </c>
      <c r="N15" s="143">
        <v>6</v>
      </c>
      <c r="O15" s="147"/>
      <c r="P15" s="147"/>
      <c r="Q15" s="147"/>
      <c r="R15" s="147"/>
      <c r="S15" s="143">
        <v>6</v>
      </c>
      <c r="T15" s="143">
        <v>6</v>
      </c>
      <c r="U15" s="143">
        <v>6</v>
      </c>
      <c r="V15" s="143">
        <v>6</v>
      </c>
      <c r="W15" s="143">
        <v>6</v>
      </c>
      <c r="X15" s="147"/>
      <c r="Y15" s="147"/>
      <c r="Z15" s="143">
        <v>6</v>
      </c>
      <c r="AA15" s="143">
        <v>6</v>
      </c>
      <c r="AB15" s="143">
        <v>6</v>
      </c>
      <c r="AC15" s="143">
        <v>6</v>
      </c>
      <c r="AD15" s="143">
        <v>6</v>
      </c>
      <c r="AE15" s="147"/>
      <c r="AF15" s="147"/>
      <c r="AG15" s="143">
        <v>6</v>
      </c>
      <c r="AH15" s="143">
        <v>6</v>
      </c>
      <c r="AI15" s="143">
        <v>6</v>
      </c>
      <c r="AJ15" s="143">
        <v>6</v>
      </c>
      <c r="AK15" s="143">
        <v>6</v>
      </c>
      <c r="AL15" s="147"/>
      <c r="AM15" s="147"/>
      <c r="AN15" s="143">
        <v>6</v>
      </c>
      <c r="AO15" s="141">
        <v>114</v>
      </c>
    </row>
    <row r="16" spans="1:41" s="630" customFormat="1" ht="15.6" x14ac:dyDescent="0.3">
      <c r="A16" s="1259" t="s">
        <v>915</v>
      </c>
      <c r="B16" s="1260"/>
      <c r="C16" s="1260"/>
      <c r="D16" s="1260"/>
      <c r="E16" s="1260"/>
      <c r="F16" s="1260"/>
      <c r="G16" s="1260"/>
      <c r="H16" s="1260"/>
      <c r="I16" s="1260"/>
      <c r="J16" s="1261"/>
      <c r="K16" s="1261"/>
      <c r="L16" s="1261"/>
      <c r="M16" s="1261"/>
      <c r="N16" s="1261"/>
      <c r="O16" s="1261"/>
      <c r="P16" s="1261"/>
      <c r="Q16" s="1261"/>
      <c r="R16" s="1261"/>
      <c r="S16" s="1261"/>
      <c r="T16" s="1261"/>
      <c r="U16" s="1261"/>
      <c r="V16" s="1261"/>
      <c r="W16" s="1261"/>
      <c r="X16" s="1261"/>
      <c r="Y16" s="1261"/>
      <c r="Z16" s="1261"/>
      <c r="AA16" s="1261"/>
      <c r="AB16" s="1261"/>
      <c r="AC16" s="1261"/>
      <c r="AD16" s="1261"/>
      <c r="AE16" s="1261"/>
      <c r="AF16" s="1261"/>
      <c r="AG16" s="1261"/>
      <c r="AH16" s="1261"/>
      <c r="AI16" s="1261"/>
      <c r="AJ16" s="1261"/>
      <c r="AK16" s="1261"/>
      <c r="AL16" s="1261"/>
      <c r="AM16" s="1261"/>
      <c r="AN16" s="1261"/>
      <c r="AO16" s="1262"/>
    </row>
    <row r="17" spans="1:41" s="630" customFormat="1" ht="31.2" x14ac:dyDescent="0.3">
      <c r="A17" s="773">
        <v>10</v>
      </c>
      <c r="B17" s="758" t="s">
        <v>916</v>
      </c>
      <c r="C17" s="759" t="s">
        <v>917</v>
      </c>
      <c r="D17" s="759" t="s">
        <v>425</v>
      </c>
      <c r="E17" s="759" t="s">
        <v>918</v>
      </c>
      <c r="F17" s="752" t="s">
        <v>893</v>
      </c>
      <c r="G17" s="760">
        <v>78127051</v>
      </c>
      <c r="H17" s="140">
        <v>0.3125</v>
      </c>
      <c r="I17" s="140" t="s">
        <v>560</v>
      </c>
      <c r="J17" s="145"/>
      <c r="K17" s="145"/>
      <c r="L17" s="143">
        <v>6</v>
      </c>
      <c r="M17" s="143">
        <v>6</v>
      </c>
      <c r="N17" s="143">
        <v>6</v>
      </c>
      <c r="O17" s="147"/>
      <c r="P17" s="147"/>
      <c r="Q17" s="145"/>
      <c r="R17" s="145"/>
      <c r="S17" s="143">
        <v>6</v>
      </c>
      <c r="T17" s="143">
        <v>6</v>
      </c>
      <c r="U17" s="143">
        <v>6</v>
      </c>
      <c r="V17" s="143">
        <v>6</v>
      </c>
      <c r="W17" s="143">
        <v>6</v>
      </c>
      <c r="X17" s="145"/>
      <c r="Y17" s="145"/>
      <c r="Z17" s="143">
        <v>6</v>
      </c>
      <c r="AA17" s="143">
        <v>6</v>
      </c>
      <c r="AB17" s="143">
        <v>6</v>
      </c>
      <c r="AC17" s="143">
        <v>6</v>
      </c>
      <c r="AD17" s="143">
        <v>6</v>
      </c>
      <c r="AE17" s="145"/>
      <c r="AF17" s="145"/>
      <c r="AG17" s="143">
        <v>6</v>
      </c>
      <c r="AH17" s="143">
        <v>6</v>
      </c>
      <c r="AI17" s="143">
        <v>6</v>
      </c>
      <c r="AJ17" s="143">
        <v>6</v>
      </c>
      <c r="AK17" s="143">
        <v>6</v>
      </c>
      <c r="AL17" s="145"/>
      <c r="AM17" s="145"/>
      <c r="AN17" s="143">
        <v>6</v>
      </c>
      <c r="AO17" s="175">
        <v>114</v>
      </c>
    </row>
    <row r="18" spans="1:41" s="630" customFormat="1" ht="16.2" thickBot="1" x14ac:dyDescent="0.35">
      <c r="A18" s="774">
        <v>11</v>
      </c>
      <c r="B18" s="775" t="s">
        <v>919</v>
      </c>
      <c r="C18" s="148" t="s">
        <v>224</v>
      </c>
      <c r="D18" s="758" t="s">
        <v>774</v>
      </c>
      <c r="E18" s="148" t="s">
        <v>920</v>
      </c>
      <c r="F18" s="753" t="s">
        <v>921</v>
      </c>
      <c r="G18" s="760">
        <v>71398704</v>
      </c>
      <c r="H18" s="140">
        <v>0.3125</v>
      </c>
      <c r="I18" s="140" t="s">
        <v>560</v>
      </c>
      <c r="J18" s="145"/>
      <c r="K18" s="145"/>
      <c r="L18" s="146">
        <v>6</v>
      </c>
      <c r="M18" s="146">
        <v>6</v>
      </c>
      <c r="N18" s="146">
        <v>6</v>
      </c>
      <c r="O18" s="145"/>
      <c r="P18" s="145"/>
      <c r="Q18" s="145"/>
      <c r="R18" s="145"/>
      <c r="S18" s="146">
        <v>6</v>
      </c>
      <c r="T18" s="146">
        <v>6</v>
      </c>
      <c r="U18" s="146">
        <v>6</v>
      </c>
      <c r="V18" s="146">
        <v>6</v>
      </c>
      <c r="W18" s="146">
        <v>6</v>
      </c>
      <c r="X18" s="145"/>
      <c r="Y18" s="145"/>
      <c r="Z18" s="146">
        <v>6</v>
      </c>
      <c r="AA18" s="181">
        <v>6</v>
      </c>
      <c r="AB18" s="143">
        <v>6</v>
      </c>
      <c r="AC18" s="143">
        <v>6</v>
      </c>
      <c r="AD18" s="143">
        <v>6</v>
      </c>
      <c r="AE18" s="147"/>
      <c r="AF18" s="147"/>
      <c r="AG18" s="143">
        <v>6</v>
      </c>
      <c r="AH18" s="143">
        <v>6</v>
      </c>
      <c r="AI18" s="143">
        <v>6</v>
      </c>
      <c r="AJ18" s="143">
        <v>6</v>
      </c>
      <c r="AK18" s="143">
        <v>6</v>
      </c>
      <c r="AL18" s="147"/>
      <c r="AM18" s="147"/>
      <c r="AN18" s="143">
        <v>6</v>
      </c>
      <c r="AO18" s="175">
        <v>114</v>
      </c>
    </row>
    <row r="19" spans="1:41" s="630" customFormat="1" ht="31.8" thickBot="1" x14ac:dyDescent="0.35">
      <c r="A19" s="774">
        <v>12</v>
      </c>
      <c r="B19" s="758" t="s">
        <v>922</v>
      </c>
      <c r="C19" s="760" t="s">
        <v>923</v>
      </c>
      <c r="D19" s="760" t="s">
        <v>924</v>
      </c>
      <c r="E19" s="776" t="s">
        <v>925</v>
      </c>
      <c r="F19" s="191" t="s">
        <v>897</v>
      </c>
      <c r="G19" s="765" t="s">
        <v>926</v>
      </c>
      <c r="H19" s="140">
        <v>0.3125</v>
      </c>
      <c r="I19" s="140" t="s">
        <v>560</v>
      </c>
      <c r="J19" s="147"/>
      <c r="K19" s="170"/>
      <c r="L19" s="1263" t="s">
        <v>208</v>
      </c>
      <c r="M19" s="1264"/>
      <c r="N19" s="1264"/>
      <c r="O19" s="1264"/>
      <c r="P19" s="1264"/>
      <c r="Q19" s="1264"/>
      <c r="R19" s="1264"/>
      <c r="S19" s="1264"/>
      <c r="T19" s="1264"/>
      <c r="U19" s="1264"/>
      <c r="V19" s="1264"/>
      <c r="W19" s="1264"/>
      <c r="X19" s="1264"/>
      <c r="Y19" s="1264"/>
      <c r="Z19" s="1264"/>
      <c r="AA19" s="1265"/>
      <c r="AB19" s="182">
        <v>6</v>
      </c>
      <c r="AC19" s="143">
        <v>6</v>
      </c>
      <c r="AD19" s="143">
        <v>6</v>
      </c>
      <c r="AE19" s="147"/>
      <c r="AF19" s="147"/>
      <c r="AG19" s="143">
        <v>6</v>
      </c>
      <c r="AH19" s="143">
        <v>6</v>
      </c>
      <c r="AI19" s="143">
        <v>6</v>
      </c>
      <c r="AJ19" s="143">
        <v>6</v>
      </c>
      <c r="AK19" s="143">
        <v>6</v>
      </c>
      <c r="AL19" s="147"/>
      <c r="AM19" s="147"/>
      <c r="AN19" s="143">
        <v>6</v>
      </c>
      <c r="AO19" s="183">
        <v>54</v>
      </c>
    </row>
    <row r="20" spans="1:41" s="630" customFormat="1" ht="15.6" x14ac:dyDescent="0.3">
      <c r="A20" s="1266" t="s">
        <v>927</v>
      </c>
      <c r="B20" s="1267"/>
      <c r="C20" s="1267"/>
      <c r="D20" s="1267"/>
      <c r="E20" s="1267"/>
      <c r="F20" s="1267"/>
      <c r="G20" s="1267"/>
      <c r="H20" s="1267"/>
      <c r="I20" s="1267"/>
      <c r="J20" s="1267"/>
      <c r="K20" s="1267"/>
      <c r="L20" s="1268"/>
      <c r="M20" s="1268"/>
      <c r="N20" s="1268"/>
      <c r="O20" s="1268"/>
      <c r="P20" s="1268"/>
      <c r="Q20" s="1268"/>
      <c r="R20" s="1268"/>
      <c r="S20" s="1268"/>
      <c r="T20" s="1268"/>
      <c r="U20" s="1268"/>
      <c r="V20" s="1268"/>
      <c r="W20" s="1268"/>
      <c r="X20" s="1268"/>
      <c r="Y20" s="1268"/>
      <c r="Z20" s="1268"/>
      <c r="AA20" s="1268"/>
      <c r="AB20" s="1268"/>
      <c r="AC20" s="1268"/>
      <c r="AD20" s="1268"/>
      <c r="AE20" s="1268"/>
      <c r="AF20" s="1268"/>
      <c r="AG20" s="1268"/>
      <c r="AH20" s="1268"/>
      <c r="AI20" s="1268"/>
      <c r="AJ20" s="1268"/>
      <c r="AK20" s="1268"/>
      <c r="AL20" s="1268"/>
      <c r="AM20" s="1268"/>
      <c r="AN20" s="1268"/>
      <c r="AO20" s="1269"/>
    </row>
    <row r="21" spans="1:41" s="630" customFormat="1" ht="31.2" x14ac:dyDescent="0.3">
      <c r="A21" s="777">
        <v>13</v>
      </c>
      <c r="B21" s="159" t="s">
        <v>928</v>
      </c>
      <c r="C21" s="159" t="s">
        <v>217</v>
      </c>
      <c r="D21" s="159" t="s">
        <v>929</v>
      </c>
      <c r="E21" s="159" t="s">
        <v>930</v>
      </c>
      <c r="F21" s="752" t="s">
        <v>893</v>
      </c>
      <c r="G21" s="769" t="s">
        <v>931</v>
      </c>
      <c r="H21" s="151" t="s">
        <v>932</v>
      </c>
      <c r="I21" s="140" t="s">
        <v>511</v>
      </c>
      <c r="J21" s="147"/>
      <c r="K21" s="147"/>
      <c r="L21" s="143">
        <v>6</v>
      </c>
      <c r="M21" s="143">
        <v>6</v>
      </c>
      <c r="N21" s="143">
        <v>6</v>
      </c>
      <c r="O21" s="147"/>
      <c r="P21" s="147"/>
      <c r="Q21" s="147"/>
      <c r="R21" s="147"/>
      <c r="S21" s="143">
        <v>6</v>
      </c>
      <c r="T21" s="143">
        <v>6</v>
      </c>
      <c r="U21" s="143">
        <v>6</v>
      </c>
      <c r="V21" s="143">
        <v>6</v>
      </c>
      <c r="W21" s="143">
        <v>6</v>
      </c>
      <c r="X21" s="147"/>
      <c r="Y21" s="147"/>
      <c r="Z21" s="143">
        <v>6</v>
      </c>
      <c r="AA21" s="143">
        <v>6</v>
      </c>
      <c r="AB21" s="143">
        <v>6</v>
      </c>
      <c r="AC21" s="143">
        <v>6</v>
      </c>
      <c r="AD21" s="143">
        <v>6</v>
      </c>
      <c r="AE21" s="147"/>
      <c r="AF21" s="147"/>
      <c r="AG21" s="143">
        <v>6</v>
      </c>
      <c r="AH21" s="143">
        <v>6</v>
      </c>
      <c r="AI21" s="143">
        <v>6</v>
      </c>
      <c r="AJ21" s="143">
        <v>6</v>
      </c>
      <c r="AK21" s="143">
        <v>6</v>
      </c>
      <c r="AL21" s="147"/>
      <c r="AM21" s="147"/>
      <c r="AN21" s="143">
        <v>6</v>
      </c>
      <c r="AO21" s="778">
        <v>114</v>
      </c>
    </row>
    <row r="22" spans="1:41" s="630" customFormat="1" ht="15.6" x14ac:dyDescent="0.3">
      <c r="A22" s="1270" t="s">
        <v>514</v>
      </c>
      <c r="B22" s="1271"/>
      <c r="C22" s="1271"/>
      <c r="D22" s="1271"/>
      <c r="E22" s="1271"/>
      <c r="F22" s="1271"/>
      <c r="G22" s="1271"/>
      <c r="H22" s="1271"/>
      <c r="I22" s="1271"/>
      <c r="J22" s="1272"/>
      <c r="K22" s="1272"/>
      <c r="L22" s="1272"/>
      <c r="M22" s="1272"/>
      <c r="N22" s="1272"/>
      <c r="O22" s="1272"/>
      <c r="P22" s="1272"/>
      <c r="Q22" s="1272"/>
      <c r="R22" s="1272"/>
      <c r="S22" s="1272"/>
      <c r="T22" s="1272"/>
      <c r="U22" s="1272"/>
      <c r="V22" s="1272"/>
      <c r="W22" s="1272"/>
      <c r="X22" s="1272"/>
      <c r="Y22" s="1272"/>
      <c r="Z22" s="1272"/>
      <c r="AA22" s="1272"/>
      <c r="AB22" s="1272"/>
      <c r="AC22" s="1272"/>
      <c r="AD22" s="1272"/>
      <c r="AE22" s="1272"/>
      <c r="AF22" s="1272"/>
      <c r="AG22" s="1272"/>
      <c r="AH22" s="1272"/>
      <c r="AI22" s="1272"/>
      <c r="AJ22" s="1272"/>
      <c r="AK22" s="1272"/>
      <c r="AL22" s="1272"/>
      <c r="AM22" s="1272"/>
      <c r="AN22" s="1272"/>
      <c r="AO22" s="1273"/>
    </row>
    <row r="23" spans="1:41" s="630" customFormat="1" ht="31.2" x14ac:dyDescent="0.3">
      <c r="A23" s="779">
        <v>14</v>
      </c>
      <c r="B23" s="157" t="s">
        <v>933</v>
      </c>
      <c r="C23" s="780" t="s">
        <v>74</v>
      </c>
      <c r="D23" s="780" t="s">
        <v>934</v>
      </c>
      <c r="E23" s="780" t="s">
        <v>935</v>
      </c>
      <c r="F23" s="751" t="s">
        <v>893</v>
      </c>
      <c r="G23" s="781" t="s">
        <v>936</v>
      </c>
      <c r="H23" s="140" t="s">
        <v>560</v>
      </c>
      <c r="I23" s="140" t="s">
        <v>937</v>
      </c>
      <c r="J23" s="145"/>
      <c r="K23" s="145"/>
      <c r="L23" s="143">
        <v>6</v>
      </c>
      <c r="M23" s="143">
        <v>6</v>
      </c>
      <c r="N23" s="143">
        <v>6</v>
      </c>
      <c r="O23" s="147"/>
      <c r="P23" s="147"/>
      <c r="Q23" s="145"/>
      <c r="R23" s="145"/>
      <c r="S23" s="143">
        <v>6</v>
      </c>
      <c r="T23" s="143">
        <v>6</v>
      </c>
      <c r="U23" s="143">
        <v>6</v>
      </c>
      <c r="V23" s="143">
        <v>6</v>
      </c>
      <c r="W23" s="143">
        <v>6</v>
      </c>
      <c r="X23" s="145"/>
      <c r="Y23" s="145"/>
      <c r="Z23" s="143">
        <v>6</v>
      </c>
      <c r="AA23" s="143">
        <v>6</v>
      </c>
      <c r="AB23" s="143">
        <v>6</v>
      </c>
      <c r="AC23" s="143">
        <v>6</v>
      </c>
      <c r="AD23" s="143">
        <v>6</v>
      </c>
      <c r="AE23" s="145"/>
      <c r="AF23" s="145"/>
      <c r="AG23" s="143">
        <v>6</v>
      </c>
      <c r="AH23" s="143">
        <v>6</v>
      </c>
      <c r="AI23" s="143">
        <v>6</v>
      </c>
      <c r="AJ23" s="143">
        <v>6</v>
      </c>
      <c r="AK23" s="143">
        <v>6</v>
      </c>
      <c r="AL23" s="145"/>
      <c r="AM23" s="145"/>
      <c r="AN23" s="143">
        <v>6</v>
      </c>
      <c r="AO23" s="149">
        <v>114</v>
      </c>
    </row>
    <row r="24" spans="1:41" s="630" customFormat="1" ht="31.2" x14ac:dyDescent="0.3">
      <c r="A24" s="782">
        <v>15</v>
      </c>
      <c r="B24" s="775" t="s">
        <v>938</v>
      </c>
      <c r="C24" s="148" t="s">
        <v>939</v>
      </c>
      <c r="D24" s="148" t="s">
        <v>317</v>
      </c>
      <c r="E24" s="148" t="s">
        <v>940</v>
      </c>
      <c r="F24" s="753" t="s">
        <v>897</v>
      </c>
      <c r="G24" s="769" t="s">
        <v>941</v>
      </c>
      <c r="H24" s="140" t="s">
        <v>560</v>
      </c>
      <c r="I24" s="140" t="s">
        <v>937</v>
      </c>
      <c r="J24" s="145"/>
      <c r="K24" s="145"/>
      <c r="L24" s="143">
        <v>6</v>
      </c>
      <c r="M24" s="143">
        <v>6</v>
      </c>
      <c r="N24" s="143">
        <v>6</v>
      </c>
      <c r="O24" s="147"/>
      <c r="P24" s="147"/>
      <c r="Q24" s="145"/>
      <c r="R24" s="145"/>
      <c r="S24" s="143">
        <v>6</v>
      </c>
      <c r="T24" s="143">
        <v>6</v>
      </c>
      <c r="U24" s="143">
        <v>6</v>
      </c>
      <c r="V24" s="143">
        <v>6</v>
      </c>
      <c r="W24" s="143">
        <v>6</v>
      </c>
      <c r="X24" s="145"/>
      <c r="Y24" s="145"/>
      <c r="Z24" s="143">
        <v>6</v>
      </c>
      <c r="AA24" s="143">
        <v>6</v>
      </c>
      <c r="AB24" s="143">
        <v>6</v>
      </c>
      <c r="AC24" s="143">
        <v>6</v>
      </c>
      <c r="AD24" s="143">
        <v>6</v>
      </c>
      <c r="AE24" s="145"/>
      <c r="AF24" s="145"/>
      <c r="AG24" s="143">
        <v>6</v>
      </c>
      <c r="AH24" s="143">
        <v>6</v>
      </c>
      <c r="AI24" s="143">
        <v>6</v>
      </c>
      <c r="AJ24" s="143">
        <v>6</v>
      </c>
      <c r="AK24" s="143">
        <v>6</v>
      </c>
      <c r="AL24" s="145"/>
      <c r="AM24" s="145"/>
      <c r="AN24" s="143">
        <v>6</v>
      </c>
      <c r="AO24" s="149">
        <v>114</v>
      </c>
    </row>
    <row r="25" spans="1:41" s="630" customFormat="1" ht="31.2" x14ac:dyDescent="0.3">
      <c r="A25" s="779">
        <v>16</v>
      </c>
      <c r="B25" s="157" t="s">
        <v>942</v>
      </c>
      <c r="C25" s="148" t="s">
        <v>943</v>
      </c>
      <c r="D25" s="148" t="s">
        <v>769</v>
      </c>
      <c r="E25" s="148" t="s">
        <v>944</v>
      </c>
      <c r="F25" s="753" t="s">
        <v>897</v>
      </c>
      <c r="G25" s="765" t="s">
        <v>945</v>
      </c>
      <c r="H25" s="140" t="s">
        <v>560</v>
      </c>
      <c r="I25" s="140" t="s">
        <v>937</v>
      </c>
      <c r="J25" s="147"/>
      <c r="K25" s="147"/>
      <c r="L25" s="143">
        <v>6</v>
      </c>
      <c r="M25" s="143">
        <v>6</v>
      </c>
      <c r="N25" s="143">
        <v>6</v>
      </c>
      <c r="O25" s="147"/>
      <c r="P25" s="147"/>
      <c r="Q25" s="147"/>
      <c r="R25" s="147"/>
      <c r="S25" s="143">
        <v>6</v>
      </c>
      <c r="T25" s="143">
        <v>6</v>
      </c>
      <c r="U25" s="143">
        <v>6</v>
      </c>
      <c r="V25" s="143">
        <v>6</v>
      </c>
      <c r="W25" s="143">
        <v>6</v>
      </c>
      <c r="X25" s="147"/>
      <c r="Y25" s="147"/>
      <c r="Z25" s="143">
        <v>6</v>
      </c>
      <c r="AA25" s="143">
        <v>6</v>
      </c>
      <c r="AB25" s="143">
        <v>6</v>
      </c>
      <c r="AC25" s="143">
        <v>6</v>
      </c>
      <c r="AD25" s="143">
        <v>6</v>
      </c>
      <c r="AE25" s="147"/>
      <c r="AF25" s="147"/>
      <c r="AG25" s="143">
        <v>6</v>
      </c>
      <c r="AH25" s="143">
        <v>6</v>
      </c>
      <c r="AI25" s="143">
        <v>6</v>
      </c>
      <c r="AJ25" s="143">
        <v>6</v>
      </c>
      <c r="AK25" s="143">
        <v>6</v>
      </c>
      <c r="AL25" s="147"/>
      <c r="AM25" s="147"/>
      <c r="AN25" s="143">
        <v>6</v>
      </c>
      <c r="AO25" s="149">
        <v>114</v>
      </c>
    </row>
    <row r="26" spans="1:41" s="630" customFormat="1" ht="31.2" x14ac:dyDescent="0.3">
      <c r="A26" s="782">
        <v>17</v>
      </c>
      <c r="B26" s="148" t="s">
        <v>946</v>
      </c>
      <c r="C26" s="148" t="s">
        <v>947</v>
      </c>
      <c r="D26" s="148" t="s">
        <v>244</v>
      </c>
      <c r="E26" s="148" t="s">
        <v>423</v>
      </c>
      <c r="F26" s="753" t="s">
        <v>897</v>
      </c>
      <c r="G26" s="769" t="s">
        <v>948</v>
      </c>
      <c r="H26" s="140" t="s">
        <v>560</v>
      </c>
      <c r="I26" s="140" t="s">
        <v>937</v>
      </c>
      <c r="J26" s="147"/>
      <c r="K26" s="147"/>
      <c r="L26" s="143">
        <v>6</v>
      </c>
      <c r="M26" s="143">
        <v>6</v>
      </c>
      <c r="N26" s="143">
        <v>6</v>
      </c>
      <c r="O26" s="147"/>
      <c r="P26" s="147">
        <v>12</v>
      </c>
      <c r="Q26" s="147"/>
      <c r="R26" s="147"/>
      <c r="S26" s="143">
        <v>6</v>
      </c>
      <c r="T26" s="143">
        <v>6</v>
      </c>
      <c r="U26" s="143">
        <v>6</v>
      </c>
      <c r="V26" s="143"/>
      <c r="W26" s="143"/>
      <c r="X26" s="147"/>
      <c r="Y26" s="147"/>
      <c r="Z26" s="143">
        <v>6</v>
      </c>
      <c r="AA26" s="143">
        <v>6</v>
      </c>
      <c r="AB26" s="143">
        <v>6</v>
      </c>
      <c r="AC26" s="143">
        <v>6</v>
      </c>
      <c r="AD26" s="143">
        <v>6</v>
      </c>
      <c r="AE26" s="147"/>
      <c r="AF26" s="147"/>
      <c r="AG26" s="143">
        <v>6</v>
      </c>
      <c r="AH26" s="143">
        <v>6</v>
      </c>
      <c r="AI26" s="143">
        <v>6</v>
      </c>
      <c r="AJ26" s="143">
        <v>6</v>
      </c>
      <c r="AK26" s="143">
        <v>6</v>
      </c>
      <c r="AL26" s="147"/>
      <c r="AM26" s="147"/>
      <c r="AN26" s="143">
        <v>6</v>
      </c>
      <c r="AO26" s="149">
        <v>114</v>
      </c>
    </row>
    <row r="27" spans="1:41" s="630" customFormat="1" ht="31.2" x14ac:dyDescent="0.3">
      <c r="A27" s="779">
        <v>18</v>
      </c>
      <c r="B27" s="758" t="s">
        <v>949</v>
      </c>
      <c r="C27" s="760" t="s">
        <v>112</v>
      </c>
      <c r="D27" s="760" t="s">
        <v>950</v>
      </c>
      <c r="E27" s="760" t="s">
        <v>951</v>
      </c>
      <c r="F27" s="191" t="s">
        <v>897</v>
      </c>
      <c r="G27" s="765" t="s">
        <v>952</v>
      </c>
      <c r="H27" s="140" t="s">
        <v>560</v>
      </c>
      <c r="I27" s="140" t="s">
        <v>937</v>
      </c>
      <c r="J27" s="145"/>
      <c r="K27" s="145"/>
      <c r="L27" s="143">
        <v>6</v>
      </c>
      <c r="M27" s="143">
        <v>6</v>
      </c>
      <c r="N27" s="143">
        <v>6</v>
      </c>
      <c r="O27" s="147"/>
      <c r="P27" s="147"/>
      <c r="Q27" s="145"/>
      <c r="R27" s="145"/>
      <c r="S27" s="143">
        <v>6</v>
      </c>
      <c r="T27" s="143">
        <v>6</v>
      </c>
      <c r="U27" s="143">
        <v>6</v>
      </c>
      <c r="V27" s="143">
        <v>6</v>
      </c>
      <c r="W27" s="143">
        <v>6</v>
      </c>
      <c r="X27" s="145"/>
      <c r="Y27" s="145"/>
      <c r="Z27" s="143">
        <v>6</v>
      </c>
      <c r="AA27" s="143">
        <v>6</v>
      </c>
      <c r="AB27" s="143">
        <v>6</v>
      </c>
      <c r="AC27" s="143">
        <v>6</v>
      </c>
      <c r="AD27" s="143">
        <v>6</v>
      </c>
      <c r="AE27" s="145"/>
      <c r="AF27" s="145"/>
      <c r="AG27" s="143">
        <v>6</v>
      </c>
      <c r="AH27" s="143">
        <v>6</v>
      </c>
      <c r="AI27" s="143">
        <v>6</v>
      </c>
      <c r="AJ27" s="143">
        <v>6</v>
      </c>
      <c r="AK27" s="143">
        <v>6</v>
      </c>
      <c r="AL27" s="145"/>
      <c r="AM27" s="145"/>
      <c r="AN27" s="143">
        <v>6</v>
      </c>
      <c r="AO27" s="149">
        <v>114</v>
      </c>
    </row>
    <row r="28" spans="1:41" s="630" customFormat="1" ht="31.2" x14ac:dyDescent="0.3">
      <c r="A28" s="782">
        <v>19</v>
      </c>
      <c r="B28" s="148" t="s">
        <v>953</v>
      </c>
      <c r="C28" s="148" t="s">
        <v>102</v>
      </c>
      <c r="D28" s="148" t="s">
        <v>954</v>
      </c>
      <c r="E28" s="148" t="s">
        <v>955</v>
      </c>
      <c r="F28" s="191" t="s">
        <v>897</v>
      </c>
      <c r="G28" s="769" t="s">
        <v>956</v>
      </c>
      <c r="H28" s="140" t="s">
        <v>560</v>
      </c>
      <c r="I28" s="140" t="s">
        <v>937</v>
      </c>
      <c r="J28" s="145"/>
      <c r="K28" s="145"/>
      <c r="L28" s="143">
        <v>6</v>
      </c>
      <c r="M28" s="143">
        <v>6</v>
      </c>
      <c r="N28" s="143">
        <v>6</v>
      </c>
      <c r="O28" s="147"/>
      <c r="P28" s="147"/>
      <c r="Q28" s="145"/>
      <c r="R28" s="145"/>
      <c r="S28" s="143">
        <v>6</v>
      </c>
      <c r="T28" s="143">
        <v>6</v>
      </c>
      <c r="U28" s="143">
        <v>6</v>
      </c>
      <c r="V28" s="143">
        <v>6</v>
      </c>
      <c r="W28" s="143">
        <v>6</v>
      </c>
      <c r="X28" s="145"/>
      <c r="Y28" s="145"/>
      <c r="Z28" s="143">
        <v>6</v>
      </c>
      <c r="AA28" s="143">
        <v>6</v>
      </c>
      <c r="AB28" s="143">
        <v>6</v>
      </c>
      <c r="AC28" s="143">
        <v>6</v>
      </c>
      <c r="AD28" s="143">
        <v>6</v>
      </c>
      <c r="AE28" s="145"/>
      <c r="AF28" s="145"/>
      <c r="AG28" s="143">
        <v>6</v>
      </c>
      <c r="AH28" s="143">
        <v>6</v>
      </c>
      <c r="AI28" s="143">
        <v>6</v>
      </c>
      <c r="AJ28" s="143">
        <v>6</v>
      </c>
      <c r="AK28" s="143">
        <v>6</v>
      </c>
      <c r="AL28" s="145"/>
      <c r="AM28" s="145"/>
      <c r="AN28" s="143">
        <v>6</v>
      </c>
      <c r="AO28" s="149">
        <v>114</v>
      </c>
    </row>
    <row r="29" spans="1:41" s="630" customFormat="1" ht="31.2" x14ac:dyDescent="0.3">
      <c r="A29" s="779">
        <v>20</v>
      </c>
      <c r="B29" s="766" t="s">
        <v>957</v>
      </c>
      <c r="C29" s="766" t="s">
        <v>799</v>
      </c>
      <c r="D29" s="783" t="s">
        <v>958</v>
      </c>
      <c r="E29" s="766" t="s">
        <v>959</v>
      </c>
      <c r="F29" s="753" t="s">
        <v>897</v>
      </c>
      <c r="G29" s="768" t="s">
        <v>960</v>
      </c>
      <c r="H29" s="140" t="s">
        <v>560</v>
      </c>
      <c r="I29" s="140" t="s">
        <v>937</v>
      </c>
      <c r="J29" s="147"/>
      <c r="K29" s="147"/>
      <c r="L29" s="143">
        <v>6</v>
      </c>
      <c r="M29" s="143">
        <v>6</v>
      </c>
      <c r="N29" s="143">
        <v>6</v>
      </c>
      <c r="O29" s="147"/>
      <c r="P29" s="147"/>
      <c r="Q29" s="147"/>
      <c r="R29" s="147"/>
      <c r="S29" s="143">
        <v>6</v>
      </c>
      <c r="T29" s="143">
        <v>6</v>
      </c>
      <c r="U29" s="143">
        <v>6</v>
      </c>
      <c r="V29" s="143">
        <v>6</v>
      </c>
      <c r="W29" s="143">
        <v>6</v>
      </c>
      <c r="X29" s="147"/>
      <c r="Y29" s="147"/>
      <c r="Z29" s="143">
        <v>6</v>
      </c>
      <c r="AA29" s="143">
        <v>6</v>
      </c>
      <c r="AB29" s="143">
        <v>6</v>
      </c>
      <c r="AC29" s="143">
        <v>6</v>
      </c>
      <c r="AD29" s="143">
        <v>6</v>
      </c>
      <c r="AE29" s="147"/>
      <c r="AF29" s="147"/>
      <c r="AG29" s="143">
        <v>6</v>
      </c>
      <c r="AH29" s="143">
        <v>6</v>
      </c>
      <c r="AI29" s="143">
        <v>6</v>
      </c>
      <c r="AJ29" s="143">
        <v>6</v>
      </c>
      <c r="AK29" s="143">
        <v>6</v>
      </c>
      <c r="AL29" s="147"/>
      <c r="AM29" s="147"/>
      <c r="AN29" s="143">
        <v>6</v>
      </c>
      <c r="AO29" s="149">
        <v>114</v>
      </c>
    </row>
    <row r="30" spans="1:41" s="630" customFormat="1" ht="15.6" x14ac:dyDescent="0.3">
      <c r="A30" s="1274" t="s">
        <v>961</v>
      </c>
      <c r="B30" s="1275"/>
      <c r="C30" s="1275"/>
      <c r="D30" s="1275"/>
      <c r="E30" s="1275"/>
      <c r="F30" s="1275"/>
      <c r="G30" s="1275"/>
      <c r="H30" s="1275"/>
      <c r="I30" s="1275"/>
      <c r="J30" s="1276"/>
      <c r="K30" s="1276"/>
      <c r="L30" s="1276"/>
      <c r="M30" s="1276"/>
      <c r="N30" s="1276"/>
      <c r="O30" s="1276"/>
      <c r="P30" s="1276"/>
      <c r="Q30" s="1276"/>
      <c r="R30" s="1276"/>
      <c r="S30" s="1276"/>
      <c r="T30" s="1276"/>
      <c r="U30" s="1276"/>
      <c r="V30" s="1276"/>
      <c r="W30" s="1276"/>
      <c r="X30" s="1276"/>
      <c r="Y30" s="1276"/>
      <c r="Z30" s="1276"/>
      <c r="AA30" s="1276"/>
      <c r="AB30" s="1276"/>
      <c r="AC30" s="1276"/>
      <c r="AD30" s="1276"/>
      <c r="AE30" s="1276"/>
      <c r="AF30" s="1276"/>
      <c r="AG30" s="1276"/>
      <c r="AH30" s="1276"/>
      <c r="AI30" s="1276"/>
      <c r="AJ30" s="1276"/>
      <c r="AK30" s="1276"/>
      <c r="AL30" s="1276"/>
      <c r="AM30" s="1276"/>
      <c r="AN30" s="1276"/>
      <c r="AO30" s="1277"/>
    </row>
    <row r="31" spans="1:41" s="630" customFormat="1" ht="16.2" thickBot="1" x14ac:dyDescent="0.35">
      <c r="A31" s="774">
        <v>21</v>
      </c>
      <c r="B31" s="784" t="s">
        <v>962</v>
      </c>
      <c r="C31" s="148" t="s">
        <v>647</v>
      </c>
      <c r="D31" s="148" t="s">
        <v>963</v>
      </c>
      <c r="E31" s="148" t="s">
        <v>964</v>
      </c>
      <c r="F31" s="753" t="s">
        <v>921</v>
      </c>
      <c r="G31" s="769" t="s">
        <v>965</v>
      </c>
      <c r="H31" s="140" t="s">
        <v>560</v>
      </c>
      <c r="I31" s="140" t="s">
        <v>937</v>
      </c>
      <c r="J31" s="147"/>
      <c r="K31" s="147"/>
      <c r="L31" s="146">
        <v>6</v>
      </c>
      <c r="M31" s="146">
        <v>6</v>
      </c>
      <c r="N31" s="146">
        <v>6</v>
      </c>
      <c r="O31" s="145"/>
      <c r="P31" s="145"/>
      <c r="Q31" s="145"/>
      <c r="R31" s="145"/>
      <c r="S31" s="146">
        <v>6</v>
      </c>
      <c r="T31" s="146">
        <v>6</v>
      </c>
      <c r="U31" s="146">
        <v>6</v>
      </c>
      <c r="V31" s="146">
        <v>6</v>
      </c>
      <c r="W31" s="146">
        <v>6</v>
      </c>
      <c r="X31" s="145"/>
      <c r="Y31" s="145"/>
      <c r="Z31" s="146">
        <v>6</v>
      </c>
      <c r="AA31" s="146">
        <v>6</v>
      </c>
      <c r="AB31" s="146">
        <v>6</v>
      </c>
      <c r="AC31" s="146">
        <v>6</v>
      </c>
      <c r="AD31" s="146">
        <v>6</v>
      </c>
      <c r="AE31" s="145"/>
      <c r="AF31" s="145"/>
      <c r="AG31" s="146">
        <v>6</v>
      </c>
      <c r="AH31" s="146">
        <v>6</v>
      </c>
      <c r="AI31" s="146">
        <v>6</v>
      </c>
      <c r="AJ31" s="146">
        <v>6</v>
      </c>
      <c r="AK31" s="146">
        <v>6</v>
      </c>
      <c r="AL31" s="145"/>
      <c r="AM31" s="145"/>
      <c r="AN31" s="146">
        <v>6</v>
      </c>
      <c r="AO31" s="150">
        <v>114</v>
      </c>
    </row>
    <row r="32" spans="1:41" s="630" customFormat="1" ht="31.8" thickBot="1" x14ac:dyDescent="0.35">
      <c r="A32" s="785">
        <v>22</v>
      </c>
      <c r="B32" s="758" t="s">
        <v>966</v>
      </c>
      <c r="C32" s="759" t="s">
        <v>305</v>
      </c>
      <c r="D32" s="759" t="s">
        <v>299</v>
      </c>
      <c r="E32" s="759" t="s">
        <v>967</v>
      </c>
      <c r="F32" s="751" t="s">
        <v>893</v>
      </c>
      <c r="G32" s="769" t="s">
        <v>968</v>
      </c>
      <c r="H32" s="140" t="s">
        <v>560</v>
      </c>
      <c r="I32" s="140" t="s">
        <v>937</v>
      </c>
      <c r="J32" s="147"/>
      <c r="K32" s="147"/>
      <c r="L32" s="146">
        <v>6</v>
      </c>
      <c r="M32" s="146">
        <v>6</v>
      </c>
      <c r="N32" s="146">
        <v>6</v>
      </c>
      <c r="O32" s="145"/>
      <c r="P32" s="145"/>
      <c r="Q32" s="145"/>
      <c r="R32" s="145"/>
      <c r="S32" s="146">
        <v>6</v>
      </c>
      <c r="T32" s="146">
        <v>6</v>
      </c>
      <c r="U32" s="146">
        <v>6</v>
      </c>
      <c r="V32" s="146">
        <v>6</v>
      </c>
      <c r="W32" s="146">
        <v>6</v>
      </c>
      <c r="X32" s="145"/>
      <c r="Y32" s="145"/>
      <c r="Z32" s="181">
        <v>6</v>
      </c>
      <c r="AA32" s="1278" t="s">
        <v>208</v>
      </c>
      <c r="AB32" s="1279"/>
      <c r="AC32" s="1279"/>
      <c r="AD32" s="1279"/>
      <c r="AE32" s="1264"/>
      <c r="AF32" s="1264"/>
      <c r="AG32" s="1264"/>
      <c r="AH32" s="1264"/>
      <c r="AI32" s="1264"/>
      <c r="AJ32" s="1264"/>
      <c r="AK32" s="1264"/>
      <c r="AL32" s="1264"/>
      <c r="AM32" s="1264"/>
      <c r="AN32" s="1265"/>
      <c r="AO32" s="184">
        <v>54</v>
      </c>
    </row>
    <row r="33" spans="1:41" s="630" customFormat="1" ht="16.2" thickBot="1" x14ac:dyDescent="0.35">
      <c r="A33" s="785">
        <v>23</v>
      </c>
      <c r="B33" s="157" t="s">
        <v>969</v>
      </c>
      <c r="C33" s="148" t="s">
        <v>248</v>
      </c>
      <c r="D33" s="148" t="s">
        <v>970</v>
      </c>
      <c r="E33" s="786" t="s">
        <v>971</v>
      </c>
      <c r="F33" s="753" t="s">
        <v>921</v>
      </c>
      <c r="G33" s="769" t="s">
        <v>972</v>
      </c>
      <c r="H33" s="140" t="s">
        <v>560</v>
      </c>
      <c r="I33" s="140" t="s">
        <v>937</v>
      </c>
      <c r="J33" s="147"/>
      <c r="K33" s="170"/>
      <c r="L33" s="146">
        <v>6</v>
      </c>
      <c r="M33" s="146">
        <v>6</v>
      </c>
      <c r="N33" s="146">
        <v>6</v>
      </c>
      <c r="O33" s="145"/>
      <c r="P33" s="145"/>
      <c r="Q33" s="145"/>
      <c r="R33" s="173"/>
      <c r="S33" s="1263" t="s">
        <v>208</v>
      </c>
      <c r="T33" s="1264"/>
      <c r="U33" s="1264"/>
      <c r="V33" s="1264"/>
      <c r="W33" s="1264"/>
      <c r="X33" s="1264"/>
      <c r="Y33" s="1264"/>
      <c r="Z33" s="1264"/>
      <c r="AA33" s="1264"/>
      <c r="AB33" s="1264"/>
      <c r="AC33" s="1264"/>
      <c r="AD33" s="1265"/>
      <c r="AE33" s="185"/>
      <c r="AF33" s="168"/>
      <c r="AG33" s="167">
        <v>6</v>
      </c>
      <c r="AH33" s="167">
        <v>6</v>
      </c>
      <c r="AI33" s="167">
        <v>6</v>
      </c>
      <c r="AJ33" s="167">
        <v>6</v>
      </c>
      <c r="AK33" s="167">
        <v>6</v>
      </c>
      <c r="AL33" s="168"/>
      <c r="AM33" s="168"/>
      <c r="AN33" s="167">
        <v>6</v>
      </c>
      <c r="AO33" s="150">
        <v>54</v>
      </c>
    </row>
    <row r="34" spans="1:41" s="630" customFormat="1" ht="15.6" x14ac:dyDescent="0.3">
      <c r="A34" s="1266" t="s">
        <v>973</v>
      </c>
      <c r="B34" s="1267"/>
      <c r="C34" s="1267"/>
      <c r="D34" s="1267"/>
      <c r="E34" s="1267"/>
      <c r="F34" s="1267"/>
      <c r="G34" s="1267"/>
      <c r="H34" s="1267"/>
      <c r="I34" s="1267"/>
      <c r="J34" s="1280"/>
      <c r="K34" s="1280"/>
      <c r="L34" s="1281"/>
      <c r="M34" s="1281"/>
      <c r="N34" s="1281"/>
      <c r="O34" s="1281"/>
      <c r="P34" s="1281"/>
      <c r="Q34" s="1281"/>
      <c r="R34" s="1281"/>
      <c r="S34" s="1281"/>
      <c r="T34" s="1281"/>
      <c r="U34" s="1281"/>
      <c r="V34" s="1281"/>
      <c r="W34" s="1281"/>
      <c r="X34" s="1281"/>
      <c r="Y34" s="1281"/>
      <c r="Z34" s="1281"/>
      <c r="AA34" s="1281"/>
      <c r="AB34" s="1281"/>
      <c r="AC34" s="1281"/>
      <c r="AD34" s="1281"/>
      <c r="AE34" s="1280"/>
      <c r="AF34" s="1280"/>
      <c r="AG34" s="1280"/>
      <c r="AH34" s="1280"/>
      <c r="AI34" s="1267"/>
      <c r="AJ34" s="1267"/>
      <c r="AK34" s="1267"/>
      <c r="AL34" s="1267"/>
      <c r="AM34" s="1267"/>
      <c r="AN34" s="1267"/>
      <c r="AO34" s="1269"/>
    </row>
    <row r="35" spans="1:41" s="630" customFormat="1" ht="31.2" x14ac:dyDescent="0.3">
      <c r="A35" s="774">
        <v>24</v>
      </c>
      <c r="B35" s="787" t="s">
        <v>974</v>
      </c>
      <c r="C35" s="766" t="s">
        <v>648</v>
      </c>
      <c r="D35" s="766" t="s">
        <v>975</v>
      </c>
      <c r="E35" s="766" t="s">
        <v>976</v>
      </c>
      <c r="F35" s="754" t="s">
        <v>893</v>
      </c>
      <c r="G35" s="768" t="s">
        <v>977</v>
      </c>
      <c r="H35" s="788" t="s">
        <v>511</v>
      </c>
      <c r="I35" s="140" t="s">
        <v>173</v>
      </c>
      <c r="J35" s="147"/>
      <c r="K35" s="147"/>
      <c r="L35" s="143">
        <v>6</v>
      </c>
      <c r="M35" s="143">
        <v>6</v>
      </c>
      <c r="N35" s="143">
        <v>6</v>
      </c>
      <c r="O35" s="147"/>
      <c r="P35" s="147"/>
      <c r="Q35" s="147"/>
      <c r="R35" s="147"/>
      <c r="S35" s="143">
        <v>6</v>
      </c>
      <c r="T35" s="143">
        <v>6</v>
      </c>
      <c r="U35" s="143">
        <v>6</v>
      </c>
      <c r="V35" s="143">
        <v>6</v>
      </c>
      <c r="W35" s="143">
        <v>6</v>
      </c>
      <c r="X35" s="147"/>
      <c r="Y35" s="147"/>
      <c r="Z35" s="143">
        <v>6</v>
      </c>
      <c r="AA35" s="143">
        <v>6</v>
      </c>
      <c r="AB35" s="143">
        <v>6</v>
      </c>
      <c r="AC35" s="143">
        <v>6</v>
      </c>
      <c r="AD35" s="143">
        <v>6</v>
      </c>
      <c r="AE35" s="147"/>
      <c r="AF35" s="147"/>
      <c r="AG35" s="143">
        <v>6</v>
      </c>
      <c r="AH35" s="143">
        <v>6</v>
      </c>
      <c r="AI35" s="143">
        <v>6</v>
      </c>
      <c r="AJ35" s="143">
        <v>6</v>
      </c>
      <c r="AK35" s="143">
        <v>6</v>
      </c>
      <c r="AL35" s="147"/>
      <c r="AM35" s="147"/>
      <c r="AN35" s="143">
        <v>6</v>
      </c>
      <c r="AO35" s="165">
        <v>114</v>
      </c>
    </row>
    <row r="36" spans="1:41" s="630" customFormat="1" ht="15.6" x14ac:dyDescent="0.3">
      <c r="A36" s="1259" t="s">
        <v>978</v>
      </c>
      <c r="B36" s="1260"/>
      <c r="C36" s="1260"/>
      <c r="D36" s="1260"/>
      <c r="E36" s="1260"/>
      <c r="F36" s="1260"/>
      <c r="G36" s="1260"/>
      <c r="H36" s="1260"/>
      <c r="I36" s="1260"/>
      <c r="J36" s="1282"/>
      <c r="K36" s="1282"/>
      <c r="L36" s="1282"/>
      <c r="M36" s="1282"/>
      <c r="N36" s="1282"/>
      <c r="O36" s="1282"/>
      <c r="P36" s="1282"/>
      <c r="Q36" s="1282"/>
      <c r="R36" s="1282"/>
      <c r="S36" s="1282"/>
      <c r="T36" s="1282"/>
      <c r="U36" s="1282"/>
      <c r="V36" s="1282"/>
      <c r="W36" s="1282"/>
      <c r="X36" s="1282"/>
      <c r="Y36" s="1282"/>
      <c r="Z36" s="1282"/>
      <c r="AA36" s="1282"/>
      <c r="AB36" s="1282"/>
      <c r="AC36" s="1282"/>
      <c r="AD36" s="1282"/>
      <c r="AE36" s="1282"/>
      <c r="AF36" s="1282"/>
      <c r="AG36" s="1282"/>
      <c r="AH36" s="1282"/>
      <c r="AI36" s="1282"/>
      <c r="AJ36" s="1282"/>
      <c r="AK36" s="1282"/>
      <c r="AL36" s="1282"/>
      <c r="AM36" s="1282"/>
      <c r="AN36" s="1282"/>
      <c r="AO36" s="1262"/>
    </row>
    <row r="37" spans="1:41" s="630" customFormat="1" ht="31.2" x14ac:dyDescent="0.3">
      <c r="A37" s="789">
        <v>25</v>
      </c>
      <c r="B37" s="157" t="s">
        <v>979</v>
      </c>
      <c r="C37" s="159" t="s">
        <v>67</v>
      </c>
      <c r="D37" s="159" t="s">
        <v>980</v>
      </c>
      <c r="E37" s="159" t="s">
        <v>981</v>
      </c>
      <c r="F37" s="751" t="s">
        <v>893</v>
      </c>
      <c r="G37" s="769" t="s">
        <v>982</v>
      </c>
      <c r="H37" s="151" t="s">
        <v>937</v>
      </c>
      <c r="I37" s="140">
        <v>0.3125</v>
      </c>
      <c r="J37" s="152">
        <v>12</v>
      </c>
      <c r="K37" s="152"/>
      <c r="L37" s="153"/>
      <c r="M37" s="176">
        <v>12</v>
      </c>
      <c r="N37" s="153"/>
      <c r="O37" s="152"/>
      <c r="P37" s="169">
        <v>12</v>
      </c>
      <c r="Q37" s="152"/>
      <c r="R37" s="152"/>
      <c r="S37" s="153">
        <v>12</v>
      </c>
      <c r="T37" s="153"/>
      <c r="U37" s="153"/>
      <c r="V37" s="153">
        <v>12</v>
      </c>
      <c r="W37" s="153"/>
      <c r="X37" s="152"/>
      <c r="Y37" s="152">
        <v>12</v>
      </c>
      <c r="Z37" s="154"/>
      <c r="AA37" s="153"/>
      <c r="AB37" s="153">
        <v>12</v>
      </c>
      <c r="AC37" s="154"/>
      <c r="AD37" s="154"/>
      <c r="AE37" s="152">
        <v>12</v>
      </c>
      <c r="AF37" s="166"/>
      <c r="AG37" s="154"/>
      <c r="AH37" s="153">
        <v>12</v>
      </c>
      <c r="AI37" s="153"/>
      <c r="AJ37" s="154"/>
      <c r="AK37" s="154">
        <v>12</v>
      </c>
      <c r="AL37" s="152"/>
      <c r="AM37" s="152"/>
      <c r="AN37" s="153">
        <v>12</v>
      </c>
      <c r="AO37" s="155">
        <v>132</v>
      </c>
    </row>
    <row r="38" spans="1:41" s="630" customFormat="1" ht="31.2" x14ac:dyDescent="0.3">
      <c r="A38" s="774">
        <v>26</v>
      </c>
      <c r="B38" s="157" t="s">
        <v>983</v>
      </c>
      <c r="C38" s="148" t="s">
        <v>984</v>
      </c>
      <c r="D38" s="148" t="s">
        <v>445</v>
      </c>
      <c r="E38" s="148" t="s">
        <v>985</v>
      </c>
      <c r="F38" s="753" t="s">
        <v>897</v>
      </c>
      <c r="G38" s="765" t="s">
        <v>986</v>
      </c>
      <c r="H38" s="151" t="s">
        <v>937</v>
      </c>
      <c r="I38" s="140">
        <v>0.3125</v>
      </c>
      <c r="J38" s="152">
        <v>12</v>
      </c>
      <c r="K38" s="152"/>
      <c r="L38" s="153"/>
      <c r="M38" s="176">
        <v>12</v>
      </c>
      <c r="N38" s="153"/>
      <c r="O38" s="152"/>
      <c r="P38" s="169"/>
      <c r="Q38" s="152"/>
      <c r="R38" s="152"/>
      <c r="S38" s="153">
        <v>12</v>
      </c>
      <c r="T38" s="153"/>
      <c r="U38" s="153"/>
      <c r="V38" s="153">
        <v>12</v>
      </c>
      <c r="W38" s="153"/>
      <c r="X38" s="152"/>
      <c r="Y38" s="152">
        <v>12</v>
      </c>
      <c r="Z38" s="154"/>
      <c r="AA38" s="153"/>
      <c r="AB38" s="153">
        <v>12</v>
      </c>
      <c r="AC38" s="154"/>
      <c r="AD38" s="154"/>
      <c r="AE38" s="152">
        <v>12</v>
      </c>
      <c r="AF38" s="166"/>
      <c r="AG38" s="154">
        <v>12</v>
      </c>
      <c r="AH38" s="153">
        <v>12</v>
      </c>
      <c r="AI38" s="153"/>
      <c r="AJ38" s="154"/>
      <c r="AK38" s="154">
        <v>12</v>
      </c>
      <c r="AL38" s="152"/>
      <c r="AM38" s="152"/>
      <c r="AN38" s="153">
        <v>12</v>
      </c>
      <c r="AO38" s="155">
        <v>132</v>
      </c>
    </row>
    <row r="39" spans="1:41" s="630" customFormat="1" ht="31.2" x14ac:dyDescent="0.3">
      <c r="A39" s="790">
        <v>27</v>
      </c>
      <c r="B39" s="157" t="s">
        <v>987</v>
      </c>
      <c r="C39" s="148" t="s">
        <v>264</v>
      </c>
      <c r="D39" s="791" t="s">
        <v>799</v>
      </c>
      <c r="E39" s="148" t="s">
        <v>988</v>
      </c>
      <c r="F39" s="753" t="s">
        <v>897</v>
      </c>
      <c r="G39" s="769" t="s">
        <v>989</v>
      </c>
      <c r="H39" s="151" t="s">
        <v>937</v>
      </c>
      <c r="I39" s="140">
        <v>0.3125</v>
      </c>
      <c r="J39" s="152">
        <v>12</v>
      </c>
      <c r="K39" s="152"/>
      <c r="L39" s="153"/>
      <c r="M39" s="176">
        <v>12</v>
      </c>
      <c r="N39" s="153"/>
      <c r="O39" s="152"/>
      <c r="P39" s="169"/>
      <c r="Q39" s="152"/>
      <c r="R39" s="152"/>
      <c r="S39" s="153">
        <v>12</v>
      </c>
      <c r="T39" s="153"/>
      <c r="U39" s="153"/>
      <c r="V39" s="153">
        <v>18</v>
      </c>
      <c r="W39" s="153">
        <v>6</v>
      </c>
      <c r="X39" s="152"/>
      <c r="Y39" s="152">
        <v>12</v>
      </c>
      <c r="Z39" s="154"/>
      <c r="AA39" s="153"/>
      <c r="AB39" s="153">
        <v>12</v>
      </c>
      <c r="AC39" s="154"/>
      <c r="AD39" s="154"/>
      <c r="AE39" s="152">
        <v>12</v>
      </c>
      <c r="AF39" s="166"/>
      <c r="AG39" s="154"/>
      <c r="AH39" s="153">
        <v>12</v>
      </c>
      <c r="AI39" s="153"/>
      <c r="AJ39" s="154"/>
      <c r="AK39" s="154">
        <v>12</v>
      </c>
      <c r="AL39" s="152"/>
      <c r="AM39" s="152"/>
      <c r="AN39" s="153">
        <v>12</v>
      </c>
      <c r="AO39" s="155">
        <v>132</v>
      </c>
    </row>
    <row r="40" spans="1:41" s="630" customFormat="1" ht="15.6" x14ac:dyDescent="0.3">
      <c r="A40" s="1259" t="s">
        <v>990</v>
      </c>
      <c r="B40" s="1260"/>
      <c r="C40" s="1260"/>
      <c r="D40" s="1260"/>
      <c r="E40" s="1260"/>
      <c r="F40" s="1260"/>
      <c r="G40" s="1260"/>
      <c r="H40" s="1260"/>
      <c r="I40" s="1260"/>
      <c r="J40" s="1260"/>
      <c r="K40" s="1260"/>
      <c r="L40" s="1260"/>
      <c r="M40" s="1260"/>
      <c r="N40" s="1260"/>
      <c r="O40" s="1260"/>
      <c r="P40" s="1260"/>
      <c r="Q40" s="1260"/>
      <c r="R40" s="1260"/>
      <c r="S40" s="1260"/>
      <c r="T40" s="1260"/>
      <c r="U40" s="1260"/>
      <c r="V40" s="1260"/>
      <c r="W40" s="1260"/>
      <c r="X40" s="1260"/>
      <c r="Y40" s="1260"/>
      <c r="Z40" s="1260"/>
      <c r="AA40" s="1260"/>
      <c r="AB40" s="1260"/>
      <c r="AC40" s="1260"/>
      <c r="AD40" s="1260"/>
      <c r="AE40" s="1260"/>
      <c r="AF40" s="1260"/>
      <c r="AG40" s="1260"/>
      <c r="AH40" s="1260"/>
      <c r="AI40" s="1260"/>
      <c r="AJ40" s="1260"/>
      <c r="AK40" s="1260"/>
      <c r="AL40" s="1260"/>
      <c r="AM40" s="1260"/>
      <c r="AN40" s="1260"/>
      <c r="AO40" s="1262"/>
    </row>
    <row r="41" spans="1:41" s="630" customFormat="1" ht="31.2" x14ac:dyDescent="0.3">
      <c r="A41" s="789">
        <v>28</v>
      </c>
      <c r="B41" s="157" t="s">
        <v>991</v>
      </c>
      <c r="C41" s="159" t="s">
        <v>992</v>
      </c>
      <c r="D41" s="159" t="s">
        <v>993</v>
      </c>
      <c r="E41" s="159" t="s">
        <v>257</v>
      </c>
      <c r="F41" s="751" t="s">
        <v>893</v>
      </c>
      <c r="G41" s="769" t="s">
        <v>994</v>
      </c>
      <c r="H41" s="151" t="s">
        <v>937</v>
      </c>
      <c r="I41" s="140">
        <v>0.3125</v>
      </c>
      <c r="J41" s="186"/>
      <c r="K41" s="169">
        <v>12</v>
      </c>
      <c r="L41" s="153"/>
      <c r="M41" s="153"/>
      <c r="N41" s="176">
        <v>12</v>
      </c>
      <c r="O41" s="152"/>
      <c r="P41" s="152"/>
      <c r="Q41" s="152">
        <v>12</v>
      </c>
      <c r="R41" s="152"/>
      <c r="S41" s="153"/>
      <c r="T41" s="153">
        <v>12</v>
      </c>
      <c r="U41" s="153"/>
      <c r="V41" s="153"/>
      <c r="W41" s="153">
        <v>12</v>
      </c>
      <c r="X41" s="166"/>
      <c r="Y41" s="152"/>
      <c r="Z41" s="153">
        <v>12</v>
      </c>
      <c r="AA41" s="154"/>
      <c r="AB41" s="154"/>
      <c r="AC41" s="153">
        <v>12</v>
      </c>
      <c r="AD41" s="154"/>
      <c r="AE41" s="166"/>
      <c r="AF41" s="152">
        <v>12</v>
      </c>
      <c r="AG41" s="153"/>
      <c r="AH41" s="154"/>
      <c r="AI41" s="154">
        <v>12</v>
      </c>
      <c r="AJ41" s="153"/>
      <c r="AK41" s="153"/>
      <c r="AL41" s="152">
        <v>12</v>
      </c>
      <c r="AM41" s="187"/>
      <c r="AN41" s="792"/>
      <c r="AO41" s="155">
        <v>120</v>
      </c>
    </row>
    <row r="42" spans="1:41" s="630" customFormat="1" ht="31.2" x14ac:dyDescent="0.3">
      <c r="A42" s="774">
        <v>29</v>
      </c>
      <c r="B42" s="758" t="s">
        <v>995</v>
      </c>
      <c r="C42" s="760" t="s">
        <v>499</v>
      </c>
      <c r="D42" s="760" t="s">
        <v>996</v>
      </c>
      <c r="E42" s="760" t="s">
        <v>997</v>
      </c>
      <c r="F42" s="191" t="s">
        <v>897</v>
      </c>
      <c r="G42" s="765" t="s">
        <v>998</v>
      </c>
      <c r="H42" s="151" t="s">
        <v>937</v>
      </c>
      <c r="I42" s="140">
        <v>0.3125</v>
      </c>
      <c r="J42" s="186"/>
      <c r="K42" s="169">
        <v>12</v>
      </c>
      <c r="L42" s="153"/>
      <c r="M42" s="153"/>
      <c r="N42" s="176">
        <v>12</v>
      </c>
      <c r="O42" s="152"/>
      <c r="P42" s="152">
        <v>12</v>
      </c>
      <c r="Q42" s="152">
        <v>12</v>
      </c>
      <c r="R42" s="152"/>
      <c r="S42" s="153"/>
      <c r="T42" s="153"/>
      <c r="U42" s="153"/>
      <c r="V42" s="153"/>
      <c r="W42" s="153">
        <v>12</v>
      </c>
      <c r="X42" s="166"/>
      <c r="Y42" s="152"/>
      <c r="Z42" s="153">
        <v>12</v>
      </c>
      <c r="AA42" s="154"/>
      <c r="AB42" s="154"/>
      <c r="AC42" s="153">
        <v>12</v>
      </c>
      <c r="AD42" s="154"/>
      <c r="AE42" s="166"/>
      <c r="AF42" s="152">
        <v>12</v>
      </c>
      <c r="AG42" s="153"/>
      <c r="AH42" s="154"/>
      <c r="AI42" s="154">
        <v>12</v>
      </c>
      <c r="AJ42" s="153"/>
      <c r="AK42" s="153"/>
      <c r="AL42" s="152">
        <v>12</v>
      </c>
      <c r="AM42" s="187"/>
      <c r="AN42" s="792"/>
      <c r="AO42" s="155">
        <v>120</v>
      </c>
    </row>
    <row r="43" spans="1:41" s="630" customFormat="1" ht="31.2" x14ac:dyDescent="0.3">
      <c r="A43" s="790">
        <v>30</v>
      </c>
      <c r="B43" s="157" t="s">
        <v>999</v>
      </c>
      <c r="C43" s="148" t="s">
        <v>1000</v>
      </c>
      <c r="D43" s="148" t="s">
        <v>429</v>
      </c>
      <c r="E43" s="148" t="s">
        <v>470</v>
      </c>
      <c r="F43" s="753" t="s">
        <v>897</v>
      </c>
      <c r="G43" s="765" t="s">
        <v>1001</v>
      </c>
      <c r="H43" s="151" t="s">
        <v>937</v>
      </c>
      <c r="I43" s="140">
        <v>0.3125</v>
      </c>
      <c r="J43" s="186"/>
      <c r="K43" s="169">
        <v>12</v>
      </c>
      <c r="L43" s="153"/>
      <c r="M43" s="153"/>
      <c r="N43" s="176">
        <v>12</v>
      </c>
      <c r="O43" s="152"/>
      <c r="P43" s="152"/>
      <c r="Q43" s="152">
        <v>12</v>
      </c>
      <c r="R43" s="152"/>
      <c r="S43" s="153"/>
      <c r="T43" s="153">
        <v>12</v>
      </c>
      <c r="U43" s="153"/>
      <c r="V43" s="153"/>
      <c r="W43" s="153">
        <v>12</v>
      </c>
      <c r="X43" s="166"/>
      <c r="Y43" s="152"/>
      <c r="Z43" s="153">
        <v>12</v>
      </c>
      <c r="AA43" s="154"/>
      <c r="AB43" s="154"/>
      <c r="AC43" s="153">
        <v>12</v>
      </c>
      <c r="AD43" s="154"/>
      <c r="AE43" s="166"/>
      <c r="AF43" s="152">
        <v>12</v>
      </c>
      <c r="AG43" s="153"/>
      <c r="AH43" s="154"/>
      <c r="AI43" s="154">
        <v>12</v>
      </c>
      <c r="AJ43" s="153"/>
      <c r="AK43" s="153"/>
      <c r="AL43" s="152">
        <v>12</v>
      </c>
      <c r="AM43" s="187"/>
      <c r="AN43" s="792"/>
      <c r="AO43" s="155">
        <v>120</v>
      </c>
    </row>
    <row r="44" spans="1:41" s="630" customFormat="1" ht="15.6" x14ac:dyDescent="0.3">
      <c r="A44" s="1259" t="s">
        <v>1002</v>
      </c>
      <c r="B44" s="1260"/>
      <c r="C44" s="1260"/>
      <c r="D44" s="1260"/>
      <c r="E44" s="1260"/>
      <c r="F44" s="1260"/>
      <c r="G44" s="1260"/>
      <c r="H44" s="1260"/>
      <c r="I44" s="1260"/>
      <c r="J44" s="1260"/>
      <c r="K44" s="1260"/>
      <c r="L44" s="1260"/>
      <c r="M44" s="1260"/>
      <c r="N44" s="1260"/>
      <c r="O44" s="1260"/>
      <c r="P44" s="1260"/>
      <c r="Q44" s="1260"/>
      <c r="R44" s="1260"/>
      <c r="S44" s="1260"/>
      <c r="T44" s="1260"/>
      <c r="U44" s="1260"/>
      <c r="V44" s="1260"/>
      <c r="W44" s="1260"/>
      <c r="X44" s="1260"/>
      <c r="Y44" s="1260"/>
      <c r="Z44" s="1260"/>
      <c r="AA44" s="1260"/>
      <c r="AB44" s="1260"/>
      <c r="AC44" s="1260"/>
      <c r="AD44" s="1260"/>
      <c r="AE44" s="1260"/>
      <c r="AF44" s="1260"/>
      <c r="AG44" s="1260"/>
      <c r="AH44" s="1260"/>
      <c r="AI44" s="1260"/>
      <c r="AJ44" s="1260"/>
      <c r="AK44" s="1260"/>
      <c r="AL44" s="1260"/>
      <c r="AM44" s="1260"/>
      <c r="AN44" s="1260"/>
      <c r="AO44" s="1262"/>
    </row>
    <row r="45" spans="1:41" s="630" customFormat="1" ht="31.2" x14ac:dyDescent="0.3">
      <c r="A45" s="789">
        <v>31</v>
      </c>
      <c r="B45" s="177" t="s">
        <v>1003</v>
      </c>
      <c r="C45" s="162" t="s">
        <v>1004</v>
      </c>
      <c r="D45" s="162" t="s">
        <v>1005</v>
      </c>
      <c r="E45" s="162" t="s">
        <v>1006</v>
      </c>
      <c r="F45" s="755" t="s">
        <v>893</v>
      </c>
      <c r="G45" s="163" t="s">
        <v>1007</v>
      </c>
      <c r="H45" s="151" t="s">
        <v>937</v>
      </c>
      <c r="I45" s="140">
        <v>0.3125</v>
      </c>
      <c r="J45" s="186"/>
      <c r="K45" s="188"/>
      <c r="L45" s="176">
        <v>12</v>
      </c>
      <c r="M45" s="153"/>
      <c r="N45" s="153"/>
      <c r="O45" s="169">
        <v>12</v>
      </c>
      <c r="P45" s="152"/>
      <c r="Q45" s="152"/>
      <c r="R45" s="152">
        <v>12</v>
      </c>
      <c r="S45" s="153"/>
      <c r="T45" s="153"/>
      <c r="U45" s="153">
        <v>12</v>
      </c>
      <c r="V45" s="153"/>
      <c r="W45" s="153"/>
      <c r="X45" s="152">
        <v>12</v>
      </c>
      <c r="Y45" s="166"/>
      <c r="Z45" s="153"/>
      <c r="AA45" s="153">
        <v>12</v>
      </c>
      <c r="AB45" s="154"/>
      <c r="AC45" s="154"/>
      <c r="AD45" s="153">
        <v>12</v>
      </c>
      <c r="AE45" s="166"/>
      <c r="AF45" s="166"/>
      <c r="AG45" s="153">
        <v>12</v>
      </c>
      <c r="AH45" s="153"/>
      <c r="AI45" s="154"/>
      <c r="AJ45" s="154">
        <v>12</v>
      </c>
      <c r="AK45" s="153"/>
      <c r="AL45" s="152"/>
      <c r="AM45" s="152">
        <v>12</v>
      </c>
      <c r="AN45" s="793"/>
      <c r="AO45" s="155">
        <v>120</v>
      </c>
    </row>
    <row r="46" spans="1:41" s="630" customFormat="1" ht="31.2" x14ac:dyDescent="0.3">
      <c r="A46" s="774">
        <v>32</v>
      </c>
      <c r="B46" s="148" t="s">
        <v>1008</v>
      </c>
      <c r="C46" s="148" t="s">
        <v>1009</v>
      </c>
      <c r="D46" s="148" t="s">
        <v>1010</v>
      </c>
      <c r="E46" s="794" t="s">
        <v>330</v>
      </c>
      <c r="F46" s="753" t="s">
        <v>897</v>
      </c>
      <c r="G46" s="765" t="s">
        <v>1011</v>
      </c>
      <c r="H46" s="151" t="s">
        <v>937</v>
      </c>
      <c r="I46" s="140">
        <v>0.27083333333333331</v>
      </c>
      <c r="J46" s="186"/>
      <c r="K46" s="188"/>
      <c r="L46" s="176">
        <v>11</v>
      </c>
      <c r="M46" s="153"/>
      <c r="N46" s="153"/>
      <c r="O46" s="169">
        <v>11</v>
      </c>
      <c r="P46" s="152"/>
      <c r="Q46" s="152"/>
      <c r="R46" s="152">
        <v>11</v>
      </c>
      <c r="S46" s="153"/>
      <c r="T46" s="153"/>
      <c r="U46" s="153">
        <v>11</v>
      </c>
      <c r="V46" s="153"/>
      <c r="W46" s="153"/>
      <c r="X46" s="152">
        <v>11</v>
      </c>
      <c r="Y46" s="166"/>
      <c r="Z46" s="153"/>
      <c r="AA46" s="153">
        <v>11</v>
      </c>
      <c r="AB46" s="154"/>
      <c r="AC46" s="154"/>
      <c r="AD46" s="153">
        <v>11</v>
      </c>
      <c r="AE46" s="166"/>
      <c r="AF46" s="166"/>
      <c r="AG46" s="153">
        <v>11</v>
      </c>
      <c r="AH46" s="153"/>
      <c r="AI46" s="154"/>
      <c r="AJ46" s="154">
        <v>11</v>
      </c>
      <c r="AK46" s="153"/>
      <c r="AL46" s="152"/>
      <c r="AM46" s="152">
        <v>11</v>
      </c>
      <c r="AN46" s="793"/>
      <c r="AO46" s="155">
        <v>110</v>
      </c>
    </row>
    <row r="47" spans="1:41" s="630" customFormat="1" ht="31.2" x14ac:dyDescent="0.3">
      <c r="A47" s="790">
        <v>33</v>
      </c>
      <c r="B47" s="760" t="s">
        <v>1012</v>
      </c>
      <c r="C47" s="771" t="s">
        <v>67</v>
      </c>
      <c r="D47" s="771" t="s">
        <v>217</v>
      </c>
      <c r="E47" s="771" t="s">
        <v>1013</v>
      </c>
      <c r="F47" s="772" t="s">
        <v>897</v>
      </c>
      <c r="G47" s="771">
        <v>71319971</v>
      </c>
      <c r="H47" s="151" t="s">
        <v>937</v>
      </c>
      <c r="I47" s="140">
        <v>0.3125</v>
      </c>
      <c r="J47" s="186"/>
      <c r="K47" s="188"/>
      <c r="L47" s="176">
        <v>12</v>
      </c>
      <c r="M47" s="153"/>
      <c r="N47" s="153"/>
      <c r="O47" s="169">
        <v>12</v>
      </c>
      <c r="P47" s="152">
        <v>12</v>
      </c>
      <c r="Q47" s="152"/>
      <c r="R47" s="152">
        <v>12</v>
      </c>
      <c r="S47" s="153"/>
      <c r="T47" s="153"/>
      <c r="U47" s="153">
        <v>12</v>
      </c>
      <c r="V47" s="153"/>
      <c r="W47" s="153"/>
      <c r="X47" s="152">
        <v>12</v>
      </c>
      <c r="Y47" s="166"/>
      <c r="Z47" s="153"/>
      <c r="AA47" s="153">
        <v>12</v>
      </c>
      <c r="AB47" s="154"/>
      <c r="AC47" s="154"/>
      <c r="AD47" s="153">
        <v>12</v>
      </c>
      <c r="AE47" s="166"/>
      <c r="AF47" s="166"/>
      <c r="AG47" s="153"/>
      <c r="AH47" s="153"/>
      <c r="AI47" s="154"/>
      <c r="AJ47" s="154">
        <v>12</v>
      </c>
      <c r="AK47" s="153"/>
      <c r="AL47" s="152"/>
      <c r="AM47" s="152">
        <v>12</v>
      </c>
      <c r="AN47" s="793"/>
      <c r="AO47" s="155">
        <v>120</v>
      </c>
    </row>
    <row r="48" spans="1:41" s="630" customFormat="1" ht="15.6" x14ac:dyDescent="0.3">
      <c r="A48" s="1259" t="s">
        <v>534</v>
      </c>
      <c r="B48" s="1260"/>
      <c r="C48" s="1260"/>
      <c r="D48" s="1260"/>
      <c r="E48" s="1260"/>
      <c r="F48" s="1260"/>
      <c r="G48" s="1260"/>
      <c r="H48" s="1260"/>
      <c r="I48" s="1260"/>
      <c r="J48" s="1260"/>
      <c r="K48" s="1260"/>
      <c r="L48" s="1260"/>
      <c r="M48" s="1260"/>
      <c r="N48" s="1260"/>
      <c r="O48" s="1260"/>
      <c r="P48" s="1260"/>
      <c r="Q48" s="1260"/>
      <c r="R48" s="1260"/>
      <c r="S48" s="1260"/>
      <c r="T48" s="1260"/>
      <c r="U48" s="1260"/>
      <c r="V48" s="1260"/>
      <c r="W48" s="1260"/>
      <c r="X48" s="1260"/>
      <c r="Y48" s="1260"/>
      <c r="Z48" s="1260"/>
      <c r="AA48" s="1260"/>
      <c r="AB48" s="1260"/>
      <c r="AC48" s="1260"/>
      <c r="AD48" s="1260"/>
      <c r="AE48" s="1260"/>
      <c r="AF48" s="1260"/>
      <c r="AG48" s="1260"/>
      <c r="AH48" s="1260"/>
      <c r="AI48" s="1260"/>
      <c r="AJ48" s="1260"/>
      <c r="AK48" s="1260"/>
      <c r="AL48" s="1260"/>
      <c r="AM48" s="1260"/>
      <c r="AN48" s="1260"/>
      <c r="AO48" s="1262"/>
    </row>
    <row r="49" spans="1:41" s="630" customFormat="1" ht="31.2" x14ac:dyDescent="0.3">
      <c r="A49" s="789">
        <v>34</v>
      </c>
      <c r="B49" s="154" t="s">
        <v>1014</v>
      </c>
      <c r="C49" s="780" t="s">
        <v>1015</v>
      </c>
      <c r="D49" s="780" t="s">
        <v>1016</v>
      </c>
      <c r="E49" s="780" t="s">
        <v>1017</v>
      </c>
      <c r="F49" s="756" t="s">
        <v>893</v>
      </c>
      <c r="G49" s="781" t="s">
        <v>1018</v>
      </c>
      <c r="H49" s="140">
        <v>0.3125</v>
      </c>
      <c r="I49" s="140" t="s">
        <v>937</v>
      </c>
      <c r="J49" s="164">
        <v>12</v>
      </c>
      <c r="K49" s="164">
        <v>12</v>
      </c>
      <c r="L49" s="156"/>
      <c r="M49" s="158"/>
      <c r="N49" s="158"/>
      <c r="O49" s="164">
        <v>12</v>
      </c>
      <c r="P49" s="164">
        <v>12</v>
      </c>
      <c r="Q49" s="164">
        <v>12</v>
      </c>
      <c r="R49" s="164">
        <v>12</v>
      </c>
      <c r="S49" s="156"/>
      <c r="T49" s="158"/>
      <c r="U49" s="158"/>
      <c r="V49" s="158"/>
      <c r="W49" s="158"/>
      <c r="X49" s="164">
        <v>12</v>
      </c>
      <c r="Y49" s="164">
        <v>12</v>
      </c>
      <c r="Z49" s="156"/>
      <c r="AA49" s="158"/>
      <c r="AB49" s="158"/>
      <c r="AC49" s="158"/>
      <c r="AD49" s="158"/>
      <c r="AE49" s="164">
        <v>12</v>
      </c>
      <c r="AF49" s="164">
        <v>12</v>
      </c>
      <c r="AG49" s="158"/>
      <c r="AH49" s="158"/>
      <c r="AI49" s="158"/>
      <c r="AJ49" s="158"/>
      <c r="AK49" s="158"/>
      <c r="AL49" s="164">
        <v>12</v>
      </c>
      <c r="AM49" s="164">
        <v>12</v>
      </c>
      <c r="AN49" s="158"/>
      <c r="AO49" s="149">
        <v>144</v>
      </c>
    </row>
    <row r="50" spans="1:41" s="630" customFormat="1" ht="31.2" x14ac:dyDescent="0.3">
      <c r="A50" s="789">
        <v>35</v>
      </c>
      <c r="B50" s="758" t="s">
        <v>1019</v>
      </c>
      <c r="C50" s="760" t="s">
        <v>1020</v>
      </c>
      <c r="D50" s="760" t="s">
        <v>1021</v>
      </c>
      <c r="E50" s="760" t="s">
        <v>395</v>
      </c>
      <c r="F50" s="191" t="s">
        <v>897</v>
      </c>
      <c r="G50" s="769" t="s">
        <v>1022</v>
      </c>
      <c r="H50" s="140">
        <v>0.3125</v>
      </c>
      <c r="I50" s="140" t="s">
        <v>937</v>
      </c>
      <c r="J50" s="164">
        <v>12</v>
      </c>
      <c r="K50" s="164">
        <v>12</v>
      </c>
      <c r="L50" s="156"/>
      <c r="M50" s="158"/>
      <c r="N50" s="158"/>
      <c r="O50" s="164">
        <v>12</v>
      </c>
      <c r="P50" s="164"/>
      <c r="Q50" s="164">
        <v>12</v>
      </c>
      <c r="R50" s="164">
        <v>12</v>
      </c>
      <c r="S50" s="156"/>
      <c r="T50" s="158">
        <v>12</v>
      </c>
      <c r="U50" s="158"/>
      <c r="V50" s="158"/>
      <c r="W50" s="158"/>
      <c r="X50" s="164">
        <v>12</v>
      </c>
      <c r="Y50" s="164">
        <v>12</v>
      </c>
      <c r="Z50" s="156"/>
      <c r="AA50" s="158"/>
      <c r="AB50" s="158"/>
      <c r="AC50" s="158"/>
      <c r="AD50" s="158"/>
      <c r="AE50" s="164">
        <v>12</v>
      </c>
      <c r="AF50" s="164">
        <v>12</v>
      </c>
      <c r="AG50" s="158"/>
      <c r="AH50" s="158"/>
      <c r="AI50" s="158"/>
      <c r="AJ50" s="158"/>
      <c r="AK50" s="158"/>
      <c r="AL50" s="164">
        <v>12</v>
      </c>
      <c r="AM50" s="164">
        <v>12</v>
      </c>
      <c r="AN50" s="158"/>
      <c r="AO50" s="149">
        <v>144</v>
      </c>
    </row>
    <row r="51" spans="1:41" s="630" customFormat="1" ht="31.2" x14ac:dyDescent="0.3">
      <c r="A51" s="789">
        <v>36</v>
      </c>
      <c r="B51" s="148" t="s">
        <v>1023</v>
      </c>
      <c r="C51" s="148"/>
      <c r="D51" s="148" t="s">
        <v>302</v>
      </c>
      <c r="E51" s="148" t="s">
        <v>1024</v>
      </c>
      <c r="F51" s="753" t="s">
        <v>897</v>
      </c>
      <c r="G51" s="769" t="s">
        <v>1025</v>
      </c>
      <c r="H51" s="140">
        <v>0.3125</v>
      </c>
      <c r="I51" s="140" t="s">
        <v>937</v>
      </c>
      <c r="J51" s="164">
        <v>12</v>
      </c>
      <c r="K51" s="164">
        <v>12</v>
      </c>
      <c r="L51" s="156"/>
      <c r="M51" s="158"/>
      <c r="N51" s="158"/>
      <c r="O51" s="164">
        <v>12</v>
      </c>
      <c r="P51" s="164">
        <v>12</v>
      </c>
      <c r="Q51" s="164">
        <v>12</v>
      </c>
      <c r="R51" s="164">
        <v>12</v>
      </c>
      <c r="S51" s="156"/>
      <c r="T51" s="158"/>
      <c r="U51" s="158"/>
      <c r="V51" s="158"/>
      <c r="W51" s="158"/>
      <c r="X51" s="164">
        <v>12</v>
      </c>
      <c r="Y51" s="164">
        <v>12</v>
      </c>
      <c r="Z51" s="156"/>
      <c r="AA51" s="158"/>
      <c r="AB51" s="158"/>
      <c r="AC51" s="158"/>
      <c r="AD51" s="158"/>
      <c r="AE51" s="164">
        <v>12</v>
      </c>
      <c r="AF51" s="164">
        <v>12</v>
      </c>
      <c r="AG51" s="158"/>
      <c r="AH51" s="158"/>
      <c r="AI51" s="158"/>
      <c r="AJ51" s="158"/>
      <c r="AK51" s="158"/>
      <c r="AL51" s="164">
        <v>12</v>
      </c>
      <c r="AM51" s="164">
        <v>12</v>
      </c>
      <c r="AN51" s="158"/>
      <c r="AO51" s="149">
        <v>144</v>
      </c>
    </row>
    <row r="52" spans="1:41" s="630" customFormat="1" ht="31.2" x14ac:dyDescent="0.3">
      <c r="A52" s="789">
        <v>37</v>
      </c>
      <c r="B52" s="157" t="s">
        <v>1026</v>
      </c>
      <c r="C52" s="148" t="s">
        <v>1027</v>
      </c>
      <c r="D52" s="148" t="s">
        <v>469</v>
      </c>
      <c r="E52" s="148" t="s">
        <v>1028</v>
      </c>
      <c r="F52" s="753" t="s">
        <v>897</v>
      </c>
      <c r="G52" s="765" t="s">
        <v>1029</v>
      </c>
      <c r="H52" s="140">
        <v>0.3125</v>
      </c>
      <c r="I52" s="140" t="s">
        <v>937</v>
      </c>
      <c r="J52" s="164">
        <v>12</v>
      </c>
      <c r="K52" s="164">
        <v>12</v>
      </c>
      <c r="L52" s="156"/>
      <c r="M52" s="158"/>
      <c r="N52" s="158"/>
      <c r="O52" s="164">
        <v>12</v>
      </c>
      <c r="P52" s="164">
        <v>12</v>
      </c>
      <c r="Q52" s="164">
        <v>12</v>
      </c>
      <c r="R52" s="164">
        <v>12</v>
      </c>
      <c r="S52" s="156"/>
      <c r="T52" s="158"/>
      <c r="U52" s="158"/>
      <c r="V52" s="158"/>
      <c r="W52" s="158"/>
      <c r="X52" s="164">
        <v>12</v>
      </c>
      <c r="Y52" s="164">
        <v>12</v>
      </c>
      <c r="Z52" s="156"/>
      <c r="AA52" s="158"/>
      <c r="AB52" s="158"/>
      <c r="AC52" s="158"/>
      <c r="AD52" s="158"/>
      <c r="AE52" s="164">
        <v>12</v>
      </c>
      <c r="AF52" s="164">
        <v>12</v>
      </c>
      <c r="AG52" s="158"/>
      <c r="AH52" s="158"/>
      <c r="AI52" s="158"/>
      <c r="AJ52" s="158"/>
      <c r="AK52" s="158"/>
      <c r="AL52" s="164">
        <v>12</v>
      </c>
      <c r="AM52" s="164">
        <v>12</v>
      </c>
      <c r="AN52" s="158"/>
      <c r="AO52" s="149">
        <v>144</v>
      </c>
    </row>
    <row r="53" spans="1:41" s="630" customFormat="1" ht="31.2" x14ac:dyDescent="0.3">
      <c r="A53" s="789">
        <v>38</v>
      </c>
      <c r="B53" s="148" t="s">
        <v>1030</v>
      </c>
      <c r="C53" s="148" t="s">
        <v>1031</v>
      </c>
      <c r="D53" s="148" t="s">
        <v>1032</v>
      </c>
      <c r="E53" s="148" t="s">
        <v>88</v>
      </c>
      <c r="F53" s="753" t="s">
        <v>897</v>
      </c>
      <c r="G53" s="769" t="s">
        <v>1033</v>
      </c>
      <c r="H53" s="140">
        <v>0.3125</v>
      </c>
      <c r="I53" s="140" t="s">
        <v>937</v>
      </c>
      <c r="J53" s="164">
        <v>12</v>
      </c>
      <c r="K53" s="164">
        <v>12</v>
      </c>
      <c r="L53" s="156"/>
      <c r="M53" s="158"/>
      <c r="N53" s="158"/>
      <c r="O53" s="164">
        <v>12</v>
      </c>
      <c r="P53" s="164">
        <v>12</v>
      </c>
      <c r="Q53" s="164">
        <v>12</v>
      </c>
      <c r="R53" s="164">
        <v>12</v>
      </c>
      <c r="S53" s="156"/>
      <c r="T53" s="158"/>
      <c r="U53" s="158"/>
      <c r="V53" s="158"/>
      <c r="W53" s="158"/>
      <c r="X53" s="164">
        <v>12</v>
      </c>
      <c r="Y53" s="164">
        <v>12</v>
      </c>
      <c r="Z53" s="156"/>
      <c r="AA53" s="158"/>
      <c r="AB53" s="158"/>
      <c r="AC53" s="158"/>
      <c r="AD53" s="158"/>
      <c r="AE53" s="164">
        <v>12</v>
      </c>
      <c r="AF53" s="164">
        <v>12</v>
      </c>
      <c r="AG53" s="158"/>
      <c r="AH53" s="158"/>
      <c r="AI53" s="158"/>
      <c r="AJ53" s="158"/>
      <c r="AK53" s="158"/>
      <c r="AL53" s="164">
        <v>12</v>
      </c>
      <c r="AM53" s="164">
        <v>12</v>
      </c>
      <c r="AN53" s="158"/>
      <c r="AO53" s="149">
        <v>144</v>
      </c>
    </row>
    <row r="54" spans="1:41" s="630" customFormat="1" ht="16.2" thickBot="1" x14ac:dyDescent="0.35">
      <c r="A54" s="1283" t="s">
        <v>1034</v>
      </c>
      <c r="B54" s="1276"/>
      <c r="C54" s="1276"/>
      <c r="D54" s="1276"/>
      <c r="E54" s="1276"/>
      <c r="F54" s="1276"/>
      <c r="G54" s="1276"/>
      <c r="H54" s="1276"/>
      <c r="I54" s="1276"/>
      <c r="J54" s="1284"/>
      <c r="K54" s="1284"/>
      <c r="L54" s="1284"/>
      <c r="M54" s="1284"/>
      <c r="N54" s="1284"/>
      <c r="O54" s="1284"/>
      <c r="P54" s="1284"/>
      <c r="Q54" s="1284"/>
      <c r="R54" s="1284"/>
      <c r="S54" s="1276"/>
      <c r="T54" s="1276"/>
      <c r="U54" s="1276"/>
      <c r="V54" s="1276"/>
      <c r="W54" s="1276"/>
      <c r="X54" s="1276"/>
      <c r="Y54" s="1284"/>
      <c r="Z54" s="1284"/>
      <c r="AA54" s="1284"/>
      <c r="AB54" s="1284"/>
      <c r="AC54" s="1284"/>
      <c r="AD54" s="1284"/>
      <c r="AE54" s="1284"/>
      <c r="AF54" s="1284"/>
      <c r="AG54" s="1284"/>
      <c r="AH54" s="1284"/>
      <c r="AI54" s="1284"/>
      <c r="AJ54" s="1284"/>
      <c r="AK54" s="1284"/>
      <c r="AL54" s="1284"/>
      <c r="AM54" s="1284"/>
      <c r="AN54" s="1276"/>
      <c r="AO54" s="1285"/>
    </row>
    <row r="55" spans="1:41" s="630" customFormat="1" ht="31.8" thickBot="1" x14ac:dyDescent="0.35">
      <c r="A55" s="774">
        <v>39</v>
      </c>
      <c r="B55" s="172" t="s">
        <v>1035</v>
      </c>
      <c r="C55" s="766" t="s">
        <v>1036</v>
      </c>
      <c r="D55" s="766" t="s">
        <v>1037</v>
      </c>
      <c r="E55" s="795" t="s">
        <v>1038</v>
      </c>
      <c r="F55" s="767" t="s">
        <v>897</v>
      </c>
      <c r="G55" s="796" t="s">
        <v>1039</v>
      </c>
      <c r="H55" s="140">
        <v>0.3125</v>
      </c>
      <c r="I55" s="189" t="s">
        <v>937</v>
      </c>
      <c r="J55" s="190">
        <v>12</v>
      </c>
      <c r="K55" s="190">
        <v>12</v>
      </c>
      <c r="L55" s="156"/>
      <c r="M55" s="191"/>
      <c r="N55" s="191"/>
      <c r="O55" s="190">
        <v>12</v>
      </c>
      <c r="P55" s="190">
        <v>12</v>
      </c>
      <c r="Q55" s="190">
        <v>12</v>
      </c>
      <c r="R55" s="190">
        <v>12</v>
      </c>
      <c r="S55" s="156"/>
      <c r="T55" s="158"/>
      <c r="U55" s="158"/>
      <c r="V55" s="158"/>
      <c r="W55" s="158"/>
      <c r="X55" s="192">
        <v>12</v>
      </c>
      <c r="Y55" s="1286" t="s">
        <v>208</v>
      </c>
      <c r="Z55" s="1287"/>
      <c r="AA55" s="1287"/>
      <c r="AB55" s="1287"/>
      <c r="AC55" s="1287"/>
      <c r="AD55" s="1287"/>
      <c r="AE55" s="1287"/>
      <c r="AF55" s="1287"/>
      <c r="AG55" s="1287"/>
      <c r="AH55" s="1287"/>
      <c r="AI55" s="1287"/>
      <c r="AJ55" s="1287"/>
      <c r="AK55" s="1287"/>
      <c r="AL55" s="1287"/>
      <c r="AM55" s="1288"/>
      <c r="AN55" s="193"/>
      <c r="AO55" s="149">
        <v>84</v>
      </c>
    </row>
    <row r="56" spans="1:41" s="630" customFormat="1" ht="15.6" x14ac:dyDescent="0.3">
      <c r="A56" s="797">
        <v>40</v>
      </c>
      <c r="B56" s="157" t="s">
        <v>1040</v>
      </c>
      <c r="C56" s="148" t="s">
        <v>1041</v>
      </c>
      <c r="D56" s="148" t="s">
        <v>1042</v>
      </c>
      <c r="E56" s="148" t="s">
        <v>1043</v>
      </c>
      <c r="F56" s="753" t="s">
        <v>921</v>
      </c>
      <c r="G56" s="769" t="s">
        <v>1044</v>
      </c>
      <c r="H56" s="140">
        <v>0.3125</v>
      </c>
      <c r="I56" s="140" t="s">
        <v>937</v>
      </c>
      <c r="J56" s="164">
        <v>12</v>
      </c>
      <c r="K56" s="164">
        <v>12</v>
      </c>
      <c r="L56" s="153"/>
      <c r="M56" s="158"/>
      <c r="N56" s="158"/>
      <c r="O56" s="164">
        <v>12</v>
      </c>
      <c r="P56" s="164">
        <v>12</v>
      </c>
      <c r="Q56" s="164">
        <v>12</v>
      </c>
      <c r="R56" s="164">
        <v>12</v>
      </c>
      <c r="S56" s="156"/>
      <c r="T56" s="158"/>
      <c r="U56" s="158"/>
      <c r="V56" s="158"/>
      <c r="W56" s="158"/>
      <c r="X56" s="164">
        <v>12</v>
      </c>
      <c r="Y56" s="164">
        <v>12</v>
      </c>
      <c r="Z56" s="153"/>
      <c r="AA56" s="158"/>
      <c r="AB56" s="158"/>
      <c r="AC56" s="158"/>
      <c r="AD56" s="158"/>
      <c r="AE56" s="164">
        <v>12</v>
      </c>
      <c r="AF56" s="164">
        <v>12</v>
      </c>
      <c r="AG56" s="158"/>
      <c r="AH56" s="158"/>
      <c r="AI56" s="158"/>
      <c r="AJ56" s="158"/>
      <c r="AK56" s="158"/>
      <c r="AL56" s="164">
        <v>12</v>
      </c>
      <c r="AM56" s="164">
        <v>12</v>
      </c>
      <c r="AN56" s="158"/>
      <c r="AO56" s="149">
        <v>144</v>
      </c>
    </row>
    <row r="57" spans="1:41" ht="15" thickBot="1" x14ac:dyDescent="0.35">
      <c r="A57" s="1223" t="s">
        <v>1045</v>
      </c>
      <c r="B57" s="1224"/>
      <c r="C57" s="1224"/>
      <c r="D57" s="1224"/>
      <c r="E57" s="1224"/>
      <c r="F57" s="1224"/>
      <c r="G57" s="1224"/>
      <c r="H57" s="1224"/>
      <c r="I57" s="1224"/>
      <c r="J57" s="1224"/>
      <c r="K57" s="1224"/>
      <c r="L57" s="1224"/>
      <c r="M57" s="1224"/>
      <c r="N57" s="1224"/>
      <c r="O57" s="1224"/>
      <c r="P57" s="1224"/>
      <c r="Q57" s="1224"/>
      <c r="R57" s="1225"/>
      <c r="S57" s="1225"/>
      <c r="T57" s="1225"/>
      <c r="U57" s="1225"/>
      <c r="V57" s="1225"/>
      <c r="W57" s="1225"/>
      <c r="X57" s="1225"/>
      <c r="Y57" s="1225"/>
      <c r="Z57" s="1225"/>
      <c r="AA57" s="1225"/>
      <c r="AB57" s="1225"/>
      <c r="AC57" s="1225"/>
      <c r="AD57" s="1225"/>
      <c r="AE57" s="1225"/>
      <c r="AF57" s="1225"/>
      <c r="AG57" s="1225"/>
      <c r="AH57" s="1225"/>
      <c r="AI57" s="1225"/>
      <c r="AJ57" s="1225"/>
      <c r="AK57" s="1225"/>
      <c r="AL57" s="1225"/>
      <c r="AM57" s="1225"/>
      <c r="AN57" s="1225"/>
      <c r="AO57" s="1226"/>
    </row>
    <row r="58" spans="1:41" x14ac:dyDescent="0.3">
      <c r="A58" s="125"/>
      <c r="B58" s="125"/>
      <c r="C58" s="125"/>
      <c r="D58" s="125"/>
      <c r="E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78"/>
    </row>
    <row r="59" spans="1:41" ht="17.399999999999999" x14ac:dyDescent="0.3">
      <c r="A59" s="1258" t="s">
        <v>1046</v>
      </c>
      <c r="B59" s="1258"/>
      <c r="C59" s="1258"/>
      <c r="D59" s="1258"/>
      <c r="E59" s="1258"/>
      <c r="F59" s="1258"/>
      <c r="G59" s="1258"/>
      <c r="H59" s="1258"/>
      <c r="I59" s="1258"/>
      <c r="J59" s="1258"/>
      <c r="K59" s="1258"/>
      <c r="L59" s="1258"/>
      <c r="M59" s="1258"/>
      <c r="N59" s="1258"/>
      <c r="O59" s="1258"/>
      <c r="P59" s="1258"/>
      <c r="Q59" s="1258"/>
      <c r="R59" s="1258"/>
      <c r="S59" s="1258"/>
      <c r="T59" s="1258"/>
      <c r="U59" s="1258"/>
      <c r="V59" s="1258"/>
      <c r="W59" s="1258"/>
      <c r="X59" s="1258"/>
      <c r="Y59" s="1258"/>
      <c r="Z59" s="1258"/>
      <c r="AA59" s="1258"/>
      <c r="AB59" s="1258"/>
      <c r="AC59" s="1258"/>
      <c r="AD59" s="1258"/>
      <c r="AE59" s="1258"/>
      <c r="AF59" s="1258"/>
      <c r="AG59" s="1258"/>
      <c r="AH59" s="1258"/>
      <c r="AI59" s="1258"/>
      <c r="AJ59" s="1258"/>
      <c r="AK59" s="1258"/>
      <c r="AL59" s="1258"/>
      <c r="AM59" s="1258"/>
      <c r="AN59" s="1258"/>
      <c r="AO59" s="1258"/>
    </row>
    <row r="60" spans="1:41" ht="17.399999999999999" x14ac:dyDescent="0.3">
      <c r="A60" s="1258" t="s">
        <v>1047</v>
      </c>
      <c r="B60" s="1258"/>
      <c r="C60" s="1258"/>
      <c r="D60" s="1258"/>
      <c r="E60" s="1258"/>
      <c r="F60" s="1258"/>
      <c r="G60" s="1258"/>
      <c r="H60" s="1258"/>
      <c r="I60" s="1258"/>
      <c r="J60" s="1258"/>
      <c r="K60" s="1258"/>
      <c r="L60" s="1258"/>
      <c r="M60" s="1258"/>
      <c r="N60" s="1258"/>
      <c r="O60" s="1258"/>
      <c r="P60" s="1258"/>
      <c r="Q60" s="1258"/>
      <c r="R60" s="1258"/>
      <c r="S60" s="1258"/>
      <c r="T60" s="1258"/>
      <c r="U60" s="1258"/>
      <c r="V60" s="1258"/>
      <c r="W60" s="1258"/>
      <c r="X60" s="1258"/>
      <c r="Y60" s="1258"/>
      <c r="Z60" s="1258"/>
      <c r="AA60" s="1258"/>
      <c r="AB60" s="1258"/>
      <c r="AC60" s="1258"/>
      <c r="AD60" s="1258"/>
      <c r="AE60" s="1258"/>
      <c r="AF60" s="1258"/>
      <c r="AG60" s="1258"/>
      <c r="AH60" s="1258"/>
      <c r="AI60" s="1258"/>
      <c r="AJ60" s="1258"/>
      <c r="AK60" s="1258"/>
      <c r="AL60" s="1258"/>
      <c r="AM60" s="1258"/>
      <c r="AN60" s="1258"/>
      <c r="AO60" s="1258"/>
    </row>
  </sheetData>
  <mergeCells count="32">
    <mergeCell ref="A59:AO59"/>
    <mergeCell ref="A60:AO60"/>
    <mergeCell ref="A16:AO16"/>
    <mergeCell ref="L19:AA19"/>
    <mergeCell ref="A20:AO20"/>
    <mergeCell ref="A22:AO22"/>
    <mergeCell ref="A30:AO30"/>
    <mergeCell ref="AA32:AN32"/>
    <mergeCell ref="S33:AD33"/>
    <mergeCell ref="A34:AO34"/>
    <mergeCell ref="A36:AO36"/>
    <mergeCell ref="A40:AO40"/>
    <mergeCell ref="A44:AO44"/>
    <mergeCell ref="A48:AO48"/>
    <mergeCell ref="A54:AO54"/>
    <mergeCell ref="Y55:AM55"/>
    <mergeCell ref="A1:H1"/>
    <mergeCell ref="I1:AO1"/>
    <mergeCell ref="I2:AO2"/>
    <mergeCell ref="B3:D3"/>
    <mergeCell ref="I3:AO3"/>
    <mergeCell ref="A57:AO57"/>
    <mergeCell ref="I4:I5"/>
    <mergeCell ref="A6:AL6"/>
    <mergeCell ref="H4:H5"/>
    <mergeCell ref="F4:F5"/>
    <mergeCell ref="G4:G5"/>
    <mergeCell ref="E4:E5"/>
    <mergeCell ref="C4:C5"/>
    <mergeCell ref="A4:A5"/>
    <mergeCell ref="B4:B5"/>
    <mergeCell ref="D4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"/>
  <sheetViews>
    <sheetView workbookViewId="0">
      <selection activeCell="D7" sqref="D7"/>
    </sheetView>
  </sheetViews>
  <sheetFormatPr baseColWidth="10" defaultColWidth="11.44140625" defaultRowHeight="13.8" x14ac:dyDescent="0.3"/>
  <cols>
    <col min="1" max="1" width="9" style="697" customWidth="1"/>
    <col min="2" max="2" width="10.5546875" style="697" customWidth="1"/>
    <col min="3" max="3" width="10.33203125" style="697" customWidth="1"/>
    <col min="4" max="4" width="10.44140625" style="697" customWidth="1"/>
    <col min="5" max="5" width="11.44140625" style="888"/>
    <col min="6" max="8" width="11.44140625" style="914"/>
    <col min="9" max="13" width="2.88671875" style="697" customWidth="1"/>
    <col min="14" max="39" width="2.6640625" style="697" bestFit="1" customWidth="1"/>
    <col min="40" max="40" width="7" style="697" customWidth="1"/>
    <col min="41" max="16384" width="11.44140625" style="697"/>
  </cols>
  <sheetData>
    <row r="1" spans="1:40" ht="16.2" x14ac:dyDescent="0.3">
      <c r="A1" s="830"/>
      <c r="B1" s="831"/>
      <c r="C1" s="832"/>
      <c r="D1" s="833"/>
      <c r="E1" s="834"/>
      <c r="F1" s="891"/>
      <c r="G1" s="892" t="s">
        <v>193</v>
      </c>
      <c r="H1" s="893"/>
      <c r="I1" s="835"/>
      <c r="J1" s="835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5"/>
      <c r="X1" s="836"/>
      <c r="Y1" s="836"/>
      <c r="Z1" s="836"/>
      <c r="AA1" s="836"/>
      <c r="AB1" s="836"/>
      <c r="AC1" s="836"/>
      <c r="AD1" s="836"/>
      <c r="AE1" s="837"/>
      <c r="AF1" s="833"/>
      <c r="AG1" s="833"/>
      <c r="AH1" s="833"/>
      <c r="AI1" s="833"/>
      <c r="AJ1" s="833"/>
      <c r="AK1" s="833"/>
      <c r="AL1" s="833"/>
      <c r="AM1" s="833"/>
      <c r="AN1" s="838"/>
    </row>
    <row r="2" spans="1:40" ht="16.2" x14ac:dyDescent="0.3">
      <c r="A2" s="1293" t="s">
        <v>1048</v>
      </c>
      <c r="B2" s="1294"/>
      <c r="C2" s="1294"/>
      <c r="D2" s="1294"/>
      <c r="E2" s="1295"/>
      <c r="F2" s="844"/>
      <c r="G2" s="894"/>
      <c r="H2" s="895"/>
      <c r="I2" s="841"/>
      <c r="J2" s="841"/>
      <c r="K2" s="842" t="s">
        <v>1049</v>
      </c>
      <c r="L2" s="842"/>
      <c r="M2" s="842"/>
      <c r="N2" s="842"/>
      <c r="O2" s="842"/>
      <c r="P2" s="842"/>
      <c r="Q2" s="842"/>
      <c r="R2" s="842"/>
      <c r="S2" s="842"/>
      <c r="T2" s="840"/>
      <c r="U2" s="840"/>
      <c r="V2" s="840"/>
      <c r="W2" s="840"/>
      <c r="X2" s="843"/>
      <c r="Y2" s="843"/>
      <c r="Z2" s="843"/>
      <c r="AA2" s="843"/>
      <c r="AB2" s="843"/>
      <c r="AC2" s="843"/>
      <c r="AD2" s="843"/>
      <c r="AE2" s="843"/>
      <c r="AF2" s="839"/>
      <c r="AG2" s="839"/>
      <c r="AH2" s="839"/>
      <c r="AI2" s="839"/>
      <c r="AJ2" s="839"/>
      <c r="AK2" s="839"/>
      <c r="AL2" s="839"/>
      <c r="AM2" s="839"/>
      <c r="AN2" s="844"/>
    </row>
    <row r="3" spans="1:40" ht="16.2" x14ac:dyDescent="0.3">
      <c r="A3" s="845" t="s">
        <v>1050</v>
      </c>
      <c r="B3" s="845" t="s">
        <v>2</v>
      </c>
      <c r="C3" s="845"/>
      <c r="D3" s="1296" t="s">
        <v>1051</v>
      </c>
      <c r="E3" s="1297"/>
      <c r="F3" s="895"/>
      <c r="G3" s="1298" t="s">
        <v>1052</v>
      </c>
      <c r="H3" s="1299"/>
      <c r="I3" s="1299"/>
      <c r="J3" s="1299"/>
      <c r="K3" s="1299"/>
      <c r="L3" s="1299"/>
      <c r="M3" s="1299"/>
      <c r="N3" s="1299"/>
      <c r="O3" s="1299"/>
      <c r="P3" s="1299"/>
      <c r="Q3" s="1299"/>
      <c r="R3" s="1299"/>
      <c r="S3" s="1299"/>
      <c r="T3" s="1299"/>
      <c r="U3" s="1299"/>
      <c r="V3" s="1299"/>
      <c r="W3" s="1299"/>
      <c r="X3" s="1299"/>
      <c r="Y3" s="1299"/>
      <c r="Z3" s="1299"/>
      <c r="AA3" s="1299"/>
      <c r="AB3" s="1299"/>
      <c r="AC3" s="1299"/>
      <c r="AD3" s="1299"/>
      <c r="AE3" s="1300"/>
      <c r="AF3" s="798"/>
      <c r="AG3" s="798"/>
      <c r="AH3" s="798"/>
      <c r="AI3" s="798"/>
      <c r="AJ3" s="798"/>
      <c r="AK3" s="798"/>
      <c r="AL3" s="798"/>
      <c r="AM3" s="798"/>
      <c r="AN3" s="799"/>
    </row>
    <row r="4" spans="1:40" x14ac:dyDescent="0.3">
      <c r="A4" s="1301" t="s">
        <v>126</v>
      </c>
      <c r="B4" s="1303" t="s">
        <v>127</v>
      </c>
      <c r="C4" s="1303" t="s">
        <v>8</v>
      </c>
      <c r="D4" s="1305" t="s">
        <v>9</v>
      </c>
      <c r="E4" s="1303" t="s">
        <v>10</v>
      </c>
      <c r="F4" s="1305" t="s">
        <v>128</v>
      </c>
      <c r="G4" s="1305" t="s">
        <v>129</v>
      </c>
      <c r="H4" s="1305" t="s">
        <v>130</v>
      </c>
      <c r="I4" s="799">
        <v>1</v>
      </c>
      <c r="J4" s="799">
        <v>2</v>
      </c>
      <c r="K4" s="799">
        <v>3</v>
      </c>
      <c r="L4" s="799">
        <v>4</v>
      </c>
      <c r="M4" s="799">
        <v>5</v>
      </c>
      <c r="N4" s="799">
        <v>6</v>
      </c>
      <c r="O4" s="799">
        <v>7</v>
      </c>
      <c r="P4" s="799">
        <v>8</v>
      </c>
      <c r="Q4" s="799">
        <v>9</v>
      </c>
      <c r="R4" s="799">
        <v>10</v>
      </c>
      <c r="S4" s="799">
        <v>11</v>
      </c>
      <c r="T4" s="799">
        <v>12</v>
      </c>
      <c r="U4" s="799">
        <v>13</v>
      </c>
      <c r="V4" s="799">
        <v>14</v>
      </c>
      <c r="W4" s="799">
        <v>15</v>
      </c>
      <c r="X4" s="799">
        <v>16</v>
      </c>
      <c r="Y4" s="799">
        <v>17</v>
      </c>
      <c r="Z4" s="799">
        <v>18</v>
      </c>
      <c r="AA4" s="799">
        <v>19</v>
      </c>
      <c r="AB4" s="799">
        <v>20</v>
      </c>
      <c r="AC4" s="799">
        <v>21</v>
      </c>
      <c r="AD4" s="799">
        <v>22</v>
      </c>
      <c r="AE4" s="799">
        <v>23</v>
      </c>
      <c r="AF4" s="800">
        <v>24</v>
      </c>
      <c r="AG4" s="799">
        <v>25</v>
      </c>
      <c r="AH4" s="799">
        <v>26</v>
      </c>
      <c r="AI4" s="799">
        <v>27</v>
      </c>
      <c r="AJ4" s="799">
        <v>28</v>
      </c>
      <c r="AK4" s="799">
        <v>29</v>
      </c>
      <c r="AL4" s="799">
        <v>30</v>
      </c>
      <c r="AM4" s="799">
        <v>31</v>
      </c>
      <c r="AN4" s="799" t="s">
        <v>131</v>
      </c>
    </row>
    <row r="5" spans="1:40" x14ac:dyDescent="0.3">
      <c r="A5" s="1302"/>
      <c r="B5" s="1304"/>
      <c r="C5" s="1304"/>
      <c r="D5" s="1306"/>
      <c r="E5" s="1304"/>
      <c r="F5" s="1306"/>
      <c r="G5" s="1306"/>
      <c r="H5" s="1306"/>
      <c r="I5" s="801" t="s">
        <v>16</v>
      </c>
      <c r="J5" s="802" t="s">
        <v>17</v>
      </c>
      <c r="K5" s="802" t="s">
        <v>18</v>
      </c>
      <c r="L5" s="802" t="s">
        <v>19</v>
      </c>
      <c r="M5" s="802" t="s">
        <v>19</v>
      </c>
      <c r="N5" s="802" t="s">
        <v>20</v>
      </c>
      <c r="O5" s="802" t="s">
        <v>21</v>
      </c>
      <c r="P5" s="802" t="s">
        <v>16</v>
      </c>
      <c r="Q5" s="802" t="s">
        <v>17</v>
      </c>
      <c r="R5" s="802" t="s">
        <v>18</v>
      </c>
      <c r="S5" s="802" t="s">
        <v>19</v>
      </c>
      <c r="T5" s="802" t="s">
        <v>19</v>
      </c>
      <c r="U5" s="802" t="s">
        <v>20</v>
      </c>
      <c r="V5" s="802" t="s">
        <v>21</v>
      </c>
      <c r="W5" s="802" t="s">
        <v>16</v>
      </c>
      <c r="X5" s="802" t="s">
        <v>17</v>
      </c>
      <c r="Y5" s="802" t="s">
        <v>18</v>
      </c>
      <c r="Z5" s="802" t="s">
        <v>19</v>
      </c>
      <c r="AA5" s="802" t="s">
        <v>19</v>
      </c>
      <c r="AB5" s="802" t="s">
        <v>20</v>
      </c>
      <c r="AC5" s="802" t="s">
        <v>21</v>
      </c>
      <c r="AD5" s="802" t="s">
        <v>16</v>
      </c>
      <c r="AE5" s="802" t="s">
        <v>17</v>
      </c>
      <c r="AF5" s="802" t="s">
        <v>18</v>
      </c>
      <c r="AG5" s="802" t="s">
        <v>19</v>
      </c>
      <c r="AH5" s="802" t="s">
        <v>19</v>
      </c>
      <c r="AI5" s="802" t="s">
        <v>20</v>
      </c>
      <c r="AJ5" s="802" t="s">
        <v>21</v>
      </c>
      <c r="AK5" s="802" t="s">
        <v>16</v>
      </c>
      <c r="AL5" s="802" t="s">
        <v>17</v>
      </c>
      <c r="AM5" s="802" t="s">
        <v>18</v>
      </c>
      <c r="AN5" s="799"/>
    </row>
    <row r="6" spans="1:40" ht="41.4" x14ac:dyDescent="0.3">
      <c r="A6" s="846">
        <v>6595459</v>
      </c>
      <c r="B6" s="846" t="s">
        <v>1053</v>
      </c>
      <c r="C6" s="846" t="s">
        <v>1054</v>
      </c>
      <c r="D6" s="846" t="s">
        <v>1055</v>
      </c>
      <c r="E6" s="820" t="s">
        <v>1056</v>
      </c>
      <c r="F6" s="896" t="s">
        <v>1057</v>
      </c>
      <c r="G6" s="896" t="s">
        <v>560</v>
      </c>
      <c r="H6" s="847" t="s">
        <v>1058</v>
      </c>
      <c r="I6" s="803"/>
      <c r="J6" s="803"/>
      <c r="K6" s="803">
        <v>6</v>
      </c>
      <c r="L6" s="803">
        <v>6</v>
      </c>
      <c r="M6" s="803">
        <v>6</v>
      </c>
      <c r="N6" s="803"/>
      <c r="O6" s="803"/>
      <c r="P6" s="803"/>
      <c r="Q6" s="803"/>
      <c r="R6" s="803">
        <v>6</v>
      </c>
      <c r="S6" s="804">
        <v>6</v>
      </c>
      <c r="T6" s="804">
        <v>6</v>
      </c>
      <c r="U6" s="804">
        <v>6</v>
      </c>
      <c r="V6" s="804">
        <v>6</v>
      </c>
      <c r="W6" s="804"/>
      <c r="X6" s="804"/>
      <c r="Y6" s="804">
        <v>6</v>
      </c>
      <c r="Z6" s="804">
        <v>6</v>
      </c>
      <c r="AA6" s="804">
        <v>6</v>
      </c>
      <c r="AB6" s="804">
        <v>6</v>
      </c>
      <c r="AC6" s="804">
        <v>6</v>
      </c>
      <c r="AD6" s="804"/>
      <c r="AE6" s="804"/>
      <c r="AF6" s="804">
        <v>6</v>
      </c>
      <c r="AG6" s="804">
        <v>6</v>
      </c>
      <c r="AH6" s="804">
        <v>6</v>
      </c>
      <c r="AI6" s="804">
        <v>6</v>
      </c>
      <c r="AJ6" s="804">
        <v>6</v>
      </c>
      <c r="AK6" s="804"/>
      <c r="AL6" s="804"/>
      <c r="AM6" s="804">
        <v>6</v>
      </c>
      <c r="AN6" s="805">
        <v>114</v>
      </c>
    </row>
    <row r="7" spans="1:40" ht="41.4" x14ac:dyDescent="0.3">
      <c r="A7" s="848">
        <v>5666473</v>
      </c>
      <c r="B7" s="848" t="s">
        <v>1059</v>
      </c>
      <c r="C7" s="848" t="s">
        <v>1060</v>
      </c>
      <c r="D7" s="848" t="s">
        <v>1061</v>
      </c>
      <c r="E7" s="821" t="s">
        <v>1056</v>
      </c>
      <c r="F7" s="897" t="s">
        <v>1062</v>
      </c>
      <c r="G7" s="897" t="s">
        <v>560</v>
      </c>
      <c r="H7" s="849">
        <v>73427852</v>
      </c>
      <c r="I7" s="803"/>
      <c r="J7" s="803"/>
      <c r="K7" s="1289" t="s">
        <v>53</v>
      </c>
      <c r="L7" s="1290"/>
      <c r="M7" s="1290"/>
      <c r="N7" s="1290"/>
      <c r="O7" s="1290"/>
      <c r="P7" s="1290"/>
      <c r="Q7" s="1290"/>
      <c r="R7" s="1290"/>
      <c r="S7" s="1290"/>
      <c r="T7" s="1290"/>
      <c r="U7" s="1290"/>
      <c r="V7" s="1290"/>
      <c r="W7" s="1290"/>
      <c r="X7" s="1290"/>
      <c r="Y7" s="1290"/>
      <c r="Z7" s="1291"/>
      <c r="AA7" s="804">
        <v>6</v>
      </c>
      <c r="AB7" s="804">
        <v>6</v>
      </c>
      <c r="AC7" s="804">
        <v>6</v>
      </c>
      <c r="AD7" s="804"/>
      <c r="AE7" s="804"/>
      <c r="AF7" s="804">
        <v>6</v>
      </c>
      <c r="AG7" s="804">
        <v>6</v>
      </c>
      <c r="AH7" s="804">
        <v>6</v>
      </c>
      <c r="AI7" s="804">
        <v>6</v>
      </c>
      <c r="AJ7" s="804">
        <v>6</v>
      </c>
      <c r="AK7" s="804"/>
      <c r="AL7" s="804"/>
      <c r="AM7" s="804">
        <v>6</v>
      </c>
      <c r="AN7" s="805">
        <v>54</v>
      </c>
    </row>
    <row r="8" spans="1:40" ht="41.4" x14ac:dyDescent="0.3">
      <c r="A8" s="850">
        <v>7852995</v>
      </c>
      <c r="B8" s="850" t="s">
        <v>1063</v>
      </c>
      <c r="C8" s="850" t="s">
        <v>1064</v>
      </c>
      <c r="D8" s="850" t="s">
        <v>1065</v>
      </c>
      <c r="E8" s="851" t="s">
        <v>1056</v>
      </c>
      <c r="F8" s="898" t="s">
        <v>1066</v>
      </c>
      <c r="G8" s="898" t="s">
        <v>560</v>
      </c>
      <c r="H8" s="852" t="s">
        <v>1067</v>
      </c>
      <c r="I8" s="803"/>
      <c r="J8" s="803"/>
      <c r="K8" s="803">
        <v>6</v>
      </c>
      <c r="L8" s="803">
        <v>6</v>
      </c>
      <c r="M8" s="803">
        <v>6</v>
      </c>
      <c r="N8" s="803"/>
      <c r="O8" s="803"/>
      <c r="P8" s="803"/>
      <c r="Q8" s="803"/>
      <c r="R8" s="803">
        <v>6</v>
      </c>
      <c r="S8" s="804">
        <v>6</v>
      </c>
      <c r="T8" s="804">
        <v>6</v>
      </c>
      <c r="U8" s="804">
        <v>6</v>
      </c>
      <c r="V8" s="804">
        <v>6</v>
      </c>
      <c r="W8" s="804"/>
      <c r="X8" s="804"/>
      <c r="Y8" s="804">
        <v>6</v>
      </c>
      <c r="Z8" s="804">
        <v>6</v>
      </c>
      <c r="AA8" s="804">
        <v>6</v>
      </c>
      <c r="AB8" s="804">
        <v>6</v>
      </c>
      <c r="AC8" s="804">
        <v>6</v>
      </c>
      <c r="AD8" s="804"/>
      <c r="AE8" s="804"/>
      <c r="AF8" s="804">
        <v>6</v>
      </c>
      <c r="AG8" s="804">
        <v>6</v>
      </c>
      <c r="AH8" s="804">
        <v>6</v>
      </c>
      <c r="AI8" s="804">
        <v>6</v>
      </c>
      <c r="AJ8" s="804">
        <v>6</v>
      </c>
      <c r="AK8" s="804"/>
      <c r="AL8" s="804"/>
      <c r="AM8" s="804">
        <v>6</v>
      </c>
      <c r="AN8" s="805">
        <v>114</v>
      </c>
    </row>
    <row r="9" spans="1:40" ht="41.4" x14ac:dyDescent="0.3">
      <c r="A9" s="846">
        <v>75593591</v>
      </c>
      <c r="B9" s="846" t="s">
        <v>1068</v>
      </c>
      <c r="C9" s="846" t="s">
        <v>1069</v>
      </c>
      <c r="D9" s="846" t="s">
        <v>157</v>
      </c>
      <c r="E9" s="820" t="s">
        <v>1070</v>
      </c>
      <c r="F9" s="896" t="s">
        <v>1071</v>
      </c>
      <c r="G9" s="896" t="s">
        <v>560</v>
      </c>
      <c r="H9" s="853">
        <v>74921600</v>
      </c>
      <c r="I9" s="803"/>
      <c r="J9" s="803"/>
      <c r="K9" s="803">
        <v>6</v>
      </c>
      <c r="L9" s="803">
        <v>6</v>
      </c>
      <c r="M9" s="803">
        <v>6</v>
      </c>
      <c r="N9" s="803"/>
      <c r="O9" s="803"/>
      <c r="P9" s="803"/>
      <c r="Q9" s="803"/>
      <c r="R9" s="803">
        <v>6</v>
      </c>
      <c r="S9" s="804">
        <v>6</v>
      </c>
      <c r="T9" s="804">
        <v>6</v>
      </c>
      <c r="U9" s="804">
        <v>6</v>
      </c>
      <c r="V9" s="804">
        <v>6</v>
      </c>
      <c r="W9" s="804"/>
      <c r="X9" s="804"/>
      <c r="Y9" s="804">
        <v>6</v>
      </c>
      <c r="Z9" s="804">
        <v>6</v>
      </c>
      <c r="AA9" s="804">
        <v>6</v>
      </c>
      <c r="AB9" s="804">
        <v>6</v>
      </c>
      <c r="AC9" s="804">
        <v>6</v>
      </c>
      <c r="AD9" s="804"/>
      <c r="AE9" s="804"/>
      <c r="AF9" s="804">
        <v>6</v>
      </c>
      <c r="AG9" s="804">
        <v>6</v>
      </c>
      <c r="AH9" s="804">
        <v>6</v>
      </c>
      <c r="AI9" s="804">
        <v>6</v>
      </c>
      <c r="AJ9" s="804">
        <v>6</v>
      </c>
      <c r="AK9" s="804"/>
      <c r="AL9" s="804"/>
      <c r="AM9" s="804">
        <v>6</v>
      </c>
      <c r="AN9" s="805">
        <v>114</v>
      </c>
    </row>
    <row r="10" spans="1:40" ht="27.6" x14ac:dyDescent="0.3">
      <c r="A10" s="854">
        <v>9785237</v>
      </c>
      <c r="B10" s="854" t="s">
        <v>1072</v>
      </c>
      <c r="C10" s="854" t="s">
        <v>1073</v>
      </c>
      <c r="D10" s="854" t="s">
        <v>1074</v>
      </c>
      <c r="E10" s="822" t="s">
        <v>1075</v>
      </c>
      <c r="F10" s="899" t="s">
        <v>560</v>
      </c>
      <c r="G10" s="899" t="s">
        <v>307</v>
      </c>
      <c r="H10" s="855" t="s">
        <v>1076</v>
      </c>
      <c r="I10" s="806"/>
      <c r="J10" s="806"/>
      <c r="K10" s="806">
        <v>6</v>
      </c>
      <c r="L10" s="806">
        <v>6</v>
      </c>
      <c r="M10" s="806">
        <v>6</v>
      </c>
      <c r="N10" s="806"/>
      <c r="O10" s="806"/>
      <c r="P10" s="806"/>
      <c r="Q10" s="806"/>
      <c r="R10" s="806">
        <v>6</v>
      </c>
      <c r="S10" s="807">
        <v>6</v>
      </c>
      <c r="T10" s="807">
        <v>6</v>
      </c>
      <c r="U10" s="807">
        <v>6</v>
      </c>
      <c r="V10" s="807">
        <v>6</v>
      </c>
      <c r="W10" s="807"/>
      <c r="X10" s="807"/>
      <c r="Y10" s="807">
        <v>6</v>
      </c>
      <c r="Z10" s="807">
        <v>6</v>
      </c>
      <c r="AA10" s="807">
        <v>6</v>
      </c>
      <c r="AB10" s="807">
        <v>6</v>
      </c>
      <c r="AC10" s="807">
        <v>6</v>
      </c>
      <c r="AD10" s="807"/>
      <c r="AE10" s="807"/>
      <c r="AF10" s="807">
        <v>6</v>
      </c>
      <c r="AG10" s="807">
        <v>6</v>
      </c>
      <c r="AH10" s="807">
        <v>6</v>
      </c>
      <c r="AI10" s="807">
        <v>6</v>
      </c>
      <c r="AJ10" s="807">
        <v>6</v>
      </c>
      <c r="AK10" s="807"/>
      <c r="AL10" s="807"/>
      <c r="AM10" s="807">
        <v>6</v>
      </c>
      <c r="AN10" s="805">
        <v>114</v>
      </c>
    </row>
    <row r="11" spans="1:40" ht="41.4" x14ac:dyDescent="0.3">
      <c r="A11" s="856">
        <v>8204552</v>
      </c>
      <c r="B11" s="857" t="s">
        <v>1077</v>
      </c>
      <c r="C11" s="857" t="s">
        <v>1078</v>
      </c>
      <c r="D11" s="857" t="s">
        <v>1079</v>
      </c>
      <c r="E11" s="823" t="s">
        <v>1056</v>
      </c>
      <c r="F11" s="900" t="s">
        <v>560</v>
      </c>
      <c r="G11" s="900" t="s">
        <v>307</v>
      </c>
      <c r="H11" s="858">
        <v>70482531</v>
      </c>
      <c r="I11" s="806"/>
      <c r="J11" s="806"/>
      <c r="K11" s="806">
        <v>6</v>
      </c>
      <c r="L11" s="806">
        <v>6</v>
      </c>
      <c r="M11" s="806">
        <v>6</v>
      </c>
      <c r="N11" s="806"/>
      <c r="O11" s="806"/>
      <c r="P11" s="806"/>
      <c r="Q11" s="806"/>
      <c r="R11" s="806">
        <v>6</v>
      </c>
      <c r="S11" s="807">
        <v>6</v>
      </c>
      <c r="T11" s="807">
        <v>6</v>
      </c>
      <c r="U11" s="807">
        <v>6</v>
      </c>
      <c r="V11" s="807">
        <v>6</v>
      </c>
      <c r="W11" s="807"/>
      <c r="X11" s="807"/>
      <c r="Y11" s="807">
        <v>6</v>
      </c>
      <c r="Z11" s="807">
        <v>6</v>
      </c>
      <c r="AA11" s="807">
        <v>6</v>
      </c>
      <c r="AB11" s="807">
        <v>6</v>
      </c>
      <c r="AC11" s="807">
        <v>6</v>
      </c>
      <c r="AD11" s="807"/>
      <c r="AE11" s="807"/>
      <c r="AF11" s="807">
        <v>6</v>
      </c>
      <c r="AG11" s="807">
        <v>6</v>
      </c>
      <c r="AH11" s="807">
        <v>6</v>
      </c>
      <c r="AI11" s="807">
        <v>6</v>
      </c>
      <c r="AJ11" s="807">
        <v>6</v>
      </c>
      <c r="AK11" s="807"/>
      <c r="AL11" s="807"/>
      <c r="AM11" s="807">
        <v>6</v>
      </c>
      <c r="AN11" s="805">
        <v>114</v>
      </c>
    </row>
    <row r="12" spans="1:40" ht="41.4" x14ac:dyDescent="0.3">
      <c r="A12" s="854">
        <v>3949447</v>
      </c>
      <c r="B12" s="859" t="s">
        <v>1080</v>
      </c>
      <c r="C12" s="859" t="s">
        <v>1081</v>
      </c>
      <c r="D12" s="859" t="s">
        <v>1082</v>
      </c>
      <c r="E12" s="824" t="s">
        <v>1070</v>
      </c>
      <c r="F12" s="901" t="s">
        <v>560</v>
      </c>
      <c r="G12" s="901" t="s">
        <v>307</v>
      </c>
      <c r="H12" s="860">
        <v>76679395</v>
      </c>
      <c r="I12" s="806"/>
      <c r="J12" s="806"/>
      <c r="K12" s="806">
        <v>6</v>
      </c>
      <c r="L12" s="806">
        <v>6</v>
      </c>
      <c r="M12" s="806">
        <v>6</v>
      </c>
      <c r="N12" s="806"/>
      <c r="O12" s="806"/>
      <c r="P12" s="806"/>
      <c r="Q12" s="806"/>
      <c r="R12" s="1289" t="s">
        <v>596</v>
      </c>
      <c r="S12" s="1290"/>
      <c r="T12" s="1290"/>
      <c r="U12" s="1290"/>
      <c r="V12" s="1290"/>
      <c r="W12" s="1290"/>
      <c r="X12" s="1290"/>
      <c r="Y12" s="1290"/>
      <c r="Z12" s="1290"/>
      <c r="AA12" s="1290"/>
      <c r="AB12" s="1290"/>
      <c r="AC12" s="1291"/>
      <c r="AD12" s="807"/>
      <c r="AE12" s="807"/>
      <c r="AF12" s="807">
        <v>6</v>
      </c>
      <c r="AG12" s="807">
        <v>6</v>
      </c>
      <c r="AH12" s="807">
        <v>6</v>
      </c>
      <c r="AI12" s="807">
        <v>6</v>
      </c>
      <c r="AJ12" s="807">
        <v>6</v>
      </c>
      <c r="AK12" s="807"/>
      <c r="AL12" s="807"/>
      <c r="AM12" s="807">
        <v>6</v>
      </c>
      <c r="AN12" s="805">
        <v>54</v>
      </c>
    </row>
    <row r="13" spans="1:40" ht="41.4" x14ac:dyDescent="0.3">
      <c r="A13" s="808">
        <v>6270360</v>
      </c>
      <c r="B13" s="809" t="s">
        <v>1083</v>
      </c>
      <c r="C13" s="809" t="s">
        <v>1084</v>
      </c>
      <c r="D13" s="809" t="s">
        <v>1085</v>
      </c>
      <c r="E13" s="825" t="s">
        <v>1056</v>
      </c>
      <c r="F13" s="902" t="s">
        <v>1086</v>
      </c>
      <c r="G13" s="902" t="s">
        <v>1066</v>
      </c>
      <c r="H13" s="810">
        <v>68838106</v>
      </c>
      <c r="I13" s="811">
        <v>12</v>
      </c>
      <c r="J13" s="811"/>
      <c r="K13" s="811"/>
      <c r="L13" s="811">
        <v>12</v>
      </c>
      <c r="M13" s="811"/>
      <c r="N13" s="811"/>
      <c r="O13" s="811">
        <v>12</v>
      </c>
      <c r="P13" s="811"/>
      <c r="Q13" s="811"/>
      <c r="R13" s="811">
        <v>12</v>
      </c>
      <c r="S13" s="812"/>
      <c r="T13" s="812"/>
      <c r="U13" s="812">
        <v>12</v>
      </c>
      <c r="V13" s="812"/>
      <c r="W13" s="812"/>
      <c r="X13" s="812">
        <v>12</v>
      </c>
      <c r="Y13" s="812"/>
      <c r="Z13" s="812"/>
      <c r="AA13" s="812">
        <v>12</v>
      </c>
      <c r="AB13" s="812"/>
      <c r="AC13" s="812"/>
      <c r="AD13" s="812">
        <v>12</v>
      </c>
      <c r="AE13" s="812"/>
      <c r="AF13" s="812"/>
      <c r="AG13" s="812">
        <v>12</v>
      </c>
      <c r="AH13" s="812"/>
      <c r="AI13" s="812"/>
      <c r="AJ13" s="812">
        <v>12</v>
      </c>
      <c r="AK13" s="812"/>
      <c r="AL13" s="812"/>
      <c r="AM13" s="812">
        <v>12</v>
      </c>
      <c r="AN13" s="805">
        <v>132</v>
      </c>
    </row>
    <row r="14" spans="1:40" ht="41.4" x14ac:dyDescent="0.3">
      <c r="A14" s="861">
        <v>3657954</v>
      </c>
      <c r="B14" s="862" t="s">
        <v>1087</v>
      </c>
      <c r="C14" s="862" t="s">
        <v>1088</v>
      </c>
      <c r="D14" s="862" t="s">
        <v>1089</v>
      </c>
      <c r="E14" s="863" t="s">
        <v>1056</v>
      </c>
      <c r="F14" s="903" t="s">
        <v>307</v>
      </c>
      <c r="G14" s="903" t="s">
        <v>1090</v>
      </c>
      <c r="H14" s="864" t="s">
        <v>1091</v>
      </c>
      <c r="I14" s="811">
        <v>12</v>
      </c>
      <c r="J14" s="811"/>
      <c r="K14" s="811"/>
      <c r="L14" s="811">
        <v>12</v>
      </c>
      <c r="M14" s="811"/>
      <c r="N14" s="811"/>
      <c r="O14" s="811">
        <v>12</v>
      </c>
      <c r="P14" s="811"/>
      <c r="Q14" s="811"/>
      <c r="R14" s="811">
        <v>12</v>
      </c>
      <c r="S14" s="812"/>
      <c r="T14" s="812"/>
      <c r="U14" s="812">
        <v>12</v>
      </c>
      <c r="V14" s="812"/>
      <c r="W14" s="812"/>
      <c r="X14" s="812">
        <v>12</v>
      </c>
      <c r="Y14" s="812"/>
      <c r="Z14" s="812"/>
      <c r="AA14" s="812">
        <v>12</v>
      </c>
      <c r="AB14" s="812"/>
      <c r="AC14" s="812"/>
      <c r="AD14" s="812">
        <v>12</v>
      </c>
      <c r="AE14" s="812"/>
      <c r="AF14" s="812"/>
      <c r="AG14" s="812">
        <v>12</v>
      </c>
      <c r="AH14" s="812"/>
      <c r="AI14" s="812"/>
      <c r="AJ14" s="812">
        <v>12</v>
      </c>
      <c r="AK14" s="812"/>
      <c r="AL14" s="812"/>
      <c r="AM14" s="812">
        <v>12</v>
      </c>
      <c r="AN14" s="805">
        <v>132</v>
      </c>
    </row>
    <row r="15" spans="1:40" ht="41.4" x14ac:dyDescent="0.3">
      <c r="A15" s="808">
        <v>6205549</v>
      </c>
      <c r="B15" s="808" t="s">
        <v>1092</v>
      </c>
      <c r="C15" s="808" t="s">
        <v>1093</v>
      </c>
      <c r="D15" s="808" t="s">
        <v>1094</v>
      </c>
      <c r="E15" s="825" t="s">
        <v>1095</v>
      </c>
      <c r="F15" s="902" t="s">
        <v>307</v>
      </c>
      <c r="G15" s="902" t="s">
        <v>1066</v>
      </c>
      <c r="H15" s="865" t="s">
        <v>1096</v>
      </c>
      <c r="I15" s="811">
        <v>12</v>
      </c>
      <c r="J15" s="811"/>
      <c r="K15" s="811"/>
      <c r="L15" s="811">
        <v>12</v>
      </c>
      <c r="M15" s="811"/>
      <c r="N15" s="811"/>
      <c r="O15" s="811">
        <v>12</v>
      </c>
      <c r="P15" s="811"/>
      <c r="Q15" s="811"/>
      <c r="R15" s="811">
        <v>12</v>
      </c>
      <c r="S15" s="812"/>
      <c r="T15" s="812"/>
      <c r="U15" s="812">
        <v>12</v>
      </c>
      <c r="V15" s="812"/>
      <c r="W15" s="812"/>
      <c r="X15" s="812">
        <v>12</v>
      </c>
      <c r="Y15" s="812"/>
      <c r="Z15" s="812"/>
      <c r="AA15" s="812">
        <v>12</v>
      </c>
      <c r="AB15" s="812"/>
      <c r="AC15" s="812"/>
      <c r="AD15" s="812">
        <v>12</v>
      </c>
      <c r="AE15" s="812"/>
      <c r="AF15" s="812"/>
      <c r="AG15" s="812">
        <v>12</v>
      </c>
      <c r="AH15" s="812"/>
      <c r="AI15" s="812"/>
      <c r="AJ15" s="812">
        <v>12</v>
      </c>
      <c r="AK15" s="812"/>
      <c r="AL15" s="812"/>
      <c r="AM15" s="812">
        <v>12</v>
      </c>
      <c r="AN15" s="805">
        <v>132</v>
      </c>
    </row>
    <row r="16" spans="1:40" ht="27.6" x14ac:dyDescent="0.3">
      <c r="A16" s="866">
        <v>7667995</v>
      </c>
      <c r="B16" s="867" t="s">
        <v>1097</v>
      </c>
      <c r="C16" s="867" t="s">
        <v>1098</v>
      </c>
      <c r="D16" s="867" t="s">
        <v>1099</v>
      </c>
      <c r="E16" s="826" t="s">
        <v>1075</v>
      </c>
      <c r="F16" s="904" t="s">
        <v>307</v>
      </c>
      <c r="G16" s="905" t="s">
        <v>1066</v>
      </c>
      <c r="H16" s="868" t="s">
        <v>1100</v>
      </c>
      <c r="I16" s="813"/>
      <c r="J16" s="813">
        <v>12</v>
      </c>
      <c r="K16" s="813"/>
      <c r="L16" s="813"/>
      <c r="M16" s="813">
        <v>12</v>
      </c>
      <c r="N16" s="813"/>
      <c r="O16" s="813"/>
      <c r="P16" s="813">
        <v>12</v>
      </c>
      <c r="Q16" s="813"/>
      <c r="R16" s="813"/>
      <c r="S16" s="814">
        <v>12</v>
      </c>
      <c r="T16" s="814"/>
      <c r="U16" s="814"/>
      <c r="V16" s="814">
        <v>12</v>
      </c>
      <c r="W16" s="814"/>
      <c r="X16" s="814"/>
      <c r="Y16" s="814">
        <v>12</v>
      </c>
      <c r="Z16" s="814"/>
      <c r="AA16" s="814"/>
      <c r="AB16" s="814">
        <v>12</v>
      </c>
      <c r="AC16" s="814"/>
      <c r="AD16" s="814"/>
      <c r="AE16" s="814">
        <v>12</v>
      </c>
      <c r="AF16" s="814"/>
      <c r="AG16" s="814"/>
      <c r="AH16" s="814">
        <v>12</v>
      </c>
      <c r="AI16" s="814"/>
      <c r="AJ16" s="814"/>
      <c r="AK16" s="814">
        <v>12</v>
      </c>
      <c r="AL16" s="814"/>
      <c r="AM16" s="814"/>
      <c r="AN16" s="805">
        <v>120</v>
      </c>
    </row>
    <row r="17" spans="1:40" ht="41.4" x14ac:dyDescent="0.3">
      <c r="A17" s="818">
        <v>7842046</v>
      </c>
      <c r="B17" s="818" t="s">
        <v>1101</v>
      </c>
      <c r="C17" s="818" t="s">
        <v>1102</v>
      </c>
      <c r="D17" s="818" t="s">
        <v>1103</v>
      </c>
      <c r="E17" s="827" t="s">
        <v>1056</v>
      </c>
      <c r="F17" s="906" t="s">
        <v>307</v>
      </c>
      <c r="G17" s="906" t="s">
        <v>1066</v>
      </c>
      <c r="H17" s="869" t="s">
        <v>1104</v>
      </c>
      <c r="I17" s="813"/>
      <c r="J17" s="813">
        <v>12</v>
      </c>
      <c r="K17" s="813"/>
      <c r="L17" s="813"/>
      <c r="M17" s="813">
        <v>12</v>
      </c>
      <c r="N17" s="813"/>
      <c r="O17" s="813"/>
      <c r="P17" s="813">
        <v>7</v>
      </c>
      <c r="Q17" s="813"/>
      <c r="R17" s="813"/>
      <c r="S17" s="814">
        <v>12</v>
      </c>
      <c r="T17" s="814"/>
      <c r="U17" s="814"/>
      <c r="V17" s="814">
        <v>12</v>
      </c>
      <c r="W17" s="814"/>
      <c r="X17" s="814"/>
      <c r="Y17" s="814">
        <v>12</v>
      </c>
      <c r="Z17" s="814"/>
      <c r="AA17" s="814"/>
      <c r="AB17" s="814">
        <v>12</v>
      </c>
      <c r="AC17" s="814"/>
      <c r="AD17" s="814"/>
      <c r="AE17" s="814">
        <v>12</v>
      </c>
      <c r="AF17" s="814"/>
      <c r="AG17" s="814"/>
      <c r="AH17" s="814">
        <v>12</v>
      </c>
      <c r="AI17" s="814"/>
      <c r="AJ17" s="814"/>
      <c r="AK17" s="814">
        <v>12</v>
      </c>
      <c r="AL17" s="814"/>
      <c r="AM17" s="814"/>
      <c r="AN17" s="805">
        <v>115</v>
      </c>
    </row>
    <row r="18" spans="1:40" ht="41.4" x14ac:dyDescent="0.3">
      <c r="A18" s="870">
        <v>4027680</v>
      </c>
      <c r="B18" s="866" t="s">
        <v>1105</v>
      </c>
      <c r="C18" s="866" t="s">
        <v>1106</v>
      </c>
      <c r="D18" s="866" t="s">
        <v>1107</v>
      </c>
      <c r="E18" s="829" t="s">
        <v>1070</v>
      </c>
      <c r="F18" s="907" t="s">
        <v>307</v>
      </c>
      <c r="G18" s="907" t="s">
        <v>1090</v>
      </c>
      <c r="H18" s="871" t="s">
        <v>1108</v>
      </c>
      <c r="I18" s="813"/>
      <c r="J18" s="813">
        <v>12</v>
      </c>
      <c r="K18" s="813"/>
      <c r="L18" s="813"/>
      <c r="M18" s="813">
        <v>12</v>
      </c>
      <c r="N18" s="813"/>
      <c r="O18" s="813"/>
      <c r="P18" s="813">
        <v>12</v>
      </c>
      <c r="Q18" s="813"/>
      <c r="R18" s="813"/>
      <c r="S18" s="814">
        <v>12</v>
      </c>
      <c r="T18" s="814"/>
      <c r="U18" s="814"/>
      <c r="V18" s="814">
        <v>12</v>
      </c>
      <c r="W18" s="814"/>
      <c r="X18" s="814"/>
      <c r="Y18" s="814">
        <v>12</v>
      </c>
      <c r="Z18" s="814"/>
      <c r="AA18" s="814"/>
      <c r="AB18" s="814">
        <v>12</v>
      </c>
      <c r="AC18" s="814"/>
      <c r="AD18" s="814"/>
      <c r="AE18" s="814">
        <v>12</v>
      </c>
      <c r="AF18" s="814"/>
      <c r="AG18" s="814"/>
      <c r="AH18" s="814">
        <v>12</v>
      </c>
      <c r="AI18" s="814"/>
      <c r="AJ18" s="814"/>
      <c r="AK18" s="814">
        <v>12</v>
      </c>
      <c r="AL18" s="814"/>
      <c r="AM18" s="814"/>
      <c r="AN18" s="805">
        <v>120</v>
      </c>
    </row>
    <row r="19" spans="1:40" ht="41.4" x14ac:dyDescent="0.3">
      <c r="A19" s="872">
        <v>5897631</v>
      </c>
      <c r="B19" s="872" t="s">
        <v>1109</v>
      </c>
      <c r="C19" s="872" t="s">
        <v>1110</v>
      </c>
      <c r="D19" s="872" t="s">
        <v>1111</v>
      </c>
      <c r="E19" s="828" t="s">
        <v>1056</v>
      </c>
      <c r="F19" s="908" t="s">
        <v>307</v>
      </c>
      <c r="G19" s="908" t="s">
        <v>1066</v>
      </c>
      <c r="H19" s="873" t="s">
        <v>1112</v>
      </c>
      <c r="I19" s="815"/>
      <c r="J19" s="815"/>
      <c r="K19" s="815">
        <v>12</v>
      </c>
      <c r="L19" s="815"/>
      <c r="M19" s="815"/>
      <c r="N19" s="815">
        <v>12</v>
      </c>
      <c r="O19" s="815"/>
      <c r="P19" s="815"/>
      <c r="Q19" s="815">
        <v>12</v>
      </c>
      <c r="R19" s="815"/>
      <c r="S19" s="816"/>
      <c r="T19" s="816">
        <v>12</v>
      </c>
      <c r="U19" s="816"/>
      <c r="V19" s="816"/>
      <c r="W19" s="816">
        <v>12</v>
      </c>
      <c r="X19" s="816"/>
      <c r="Y19" s="816"/>
      <c r="Z19" s="816">
        <v>12</v>
      </c>
      <c r="AA19" s="816"/>
      <c r="AB19" s="816"/>
      <c r="AC19" s="816">
        <v>12</v>
      </c>
      <c r="AD19" s="816"/>
      <c r="AE19" s="816"/>
      <c r="AF19" s="816">
        <v>12</v>
      </c>
      <c r="AG19" s="816"/>
      <c r="AH19" s="816"/>
      <c r="AI19" s="816">
        <v>12</v>
      </c>
      <c r="AJ19" s="816"/>
      <c r="AK19" s="816"/>
      <c r="AL19" s="816">
        <v>12</v>
      </c>
      <c r="AM19" s="816"/>
      <c r="AN19" s="805">
        <v>120</v>
      </c>
    </row>
    <row r="20" spans="1:40" ht="27.6" x14ac:dyDescent="0.3">
      <c r="A20" s="872">
        <v>5539098</v>
      </c>
      <c r="B20" s="872" t="s">
        <v>1113</v>
      </c>
      <c r="C20" s="872" t="s">
        <v>1114</v>
      </c>
      <c r="D20" s="872" t="s">
        <v>1115</v>
      </c>
      <c r="E20" s="828" t="s">
        <v>1116</v>
      </c>
      <c r="F20" s="908" t="s">
        <v>307</v>
      </c>
      <c r="G20" s="908" t="s">
        <v>1066</v>
      </c>
      <c r="H20" s="874">
        <v>71824697</v>
      </c>
      <c r="I20" s="815"/>
      <c r="J20" s="815"/>
      <c r="K20" s="815">
        <v>12</v>
      </c>
      <c r="L20" s="815"/>
      <c r="M20" s="815"/>
      <c r="N20" s="815">
        <v>12</v>
      </c>
      <c r="O20" s="815"/>
      <c r="P20" s="815"/>
      <c r="Q20" s="815">
        <v>12</v>
      </c>
      <c r="R20" s="815"/>
      <c r="S20" s="816"/>
      <c r="T20" s="816">
        <v>12</v>
      </c>
      <c r="U20" s="816"/>
      <c r="V20" s="816"/>
      <c r="W20" s="816">
        <v>12</v>
      </c>
      <c r="X20" s="816"/>
      <c r="Y20" s="816"/>
      <c r="Z20" s="816">
        <v>12</v>
      </c>
      <c r="AA20" s="816"/>
      <c r="AB20" s="816"/>
      <c r="AC20" s="816">
        <v>12</v>
      </c>
      <c r="AD20" s="816"/>
      <c r="AE20" s="816"/>
      <c r="AF20" s="816">
        <v>12</v>
      </c>
      <c r="AG20" s="816"/>
      <c r="AH20" s="816"/>
      <c r="AI20" s="816">
        <v>12</v>
      </c>
      <c r="AJ20" s="816"/>
      <c r="AK20" s="816"/>
      <c r="AL20" s="816">
        <v>12</v>
      </c>
      <c r="AM20" s="816"/>
      <c r="AN20" s="805">
        <v>120</v>
      </c>
    </row>
    <row r="21" spans="1:40" ht="27.6" x14ac:dyDescent="0.3">
      <c r="A21" s="866">
        <v>7008222</v>
      </c>
      <c r="B21" s="866" t="s">
        <v>1117</v>
      </c>
      <c r="C21" s="866" t="s">
        <v>1118</v>
      </c>
      <c r="D21" s="866" t="s">
        <v>1119</v>
      </c>
      <c r="E21" s="829" t="s">
        <v>1075</v>
      </c>
      <c r="F21" s="907" t="s">
        <v>1120</v>
      </c>
      <c r="G21" s="907" t="s">
        <v>307</v>
      </c>
      <c r="H21" s="871" t="s">
        <v>1121</v>
      </c>
      <c r="I21" s="813"/>
      <c r="J21" s="813">
        <v>11</v>
      </c>
      <c r="K21" s="813"/>
      <c r="L21" s="813"/>
      <c r="M21" s="813"/>
      <c r="N21" s="813">
        <v>11</v>
      </c>
      <c r="O21" s="813">
        <v>11</v>
      </c>
      <c r="P21" s="813">
        <v>11</v>
      </c>
      <c r="Q21" s="813">
        <v>11</v>
      </c>
      <c r="R21" s="813"/>
      <c r="S21" s="814"/>
      <c r="T21" s="814"/>
      <c r="U21" s="814"/>
      <c r="V21" s="814"/>
      <c r="W21" s="814">
        <v>11</v>
      </c>
      <c r="X21" s="814">
        <v>11</v>
      </c>
      <c r="Y21" s="814"/>
      <c r="Z21" s="814"/>
      <c r="AA21" s="814"/>
      <c r="AB21" s="814"/>
      <c r="AC21" s="814"/>
      <c r="AD21" s="814">
        <v>11</v>
      </c>
      <c r="AE21" s="814">
        <v>11</v>
      </c>
      <c r="AF21" s="814"/>
      <c r="AG21" s="814"/>
      <c r="AH21" s="814"/>
      <c r="AI21" s="814"/>
      <c r="AJ21" s="814"/>
      <c r="AK21" s="814">
        <v>11</v>
      </c>
      <c r="AL21" s="814">
        <v>11</v>
      </c>
      <c r="AM21" s="814"/>
      <c r="AN21" s="805">
        <v>121</v>
      </c>
    </row>
    <row r="22" spans="1:40" ht="27.6" x14ac:dyDescent="0.3">
      <c r="A22" s="818">
        <v>5354579</v>
      </c>
      <c r="B22" s="867" t="s">
        <v>1122</v>
      </c>
      <c r="C22" s="867" t="s">
        <v>1123</v>
      </c>
      <c r="D22" s="867" t="s">
        <v>1124</v>
      </c>
      <c r="E22" s="826" t="s">
        <v>1075</v>
      </c>
      <c r="F22" s="904" t="s">
        <v>1066</v>
      </c>
      <c r="G22" s="904" t="s">
        <v>307</v>
      </c>
      <c r="H22" s="868" t="s">
        <v>1125</v>
      </c>
      <c r="I22" s="813">
        <v>12</v>
      </c>
      <c r="J22" s="813">
        <v>12</v>
      </c>
      <c r="K22" s="813"/>
      <c r="L22" s="813"/>
      <c r="M22" s="813"/>
      <c r="N22" s="813">
        <v>12</v>
      </c>
      <c r="O22" s="813">
        <v>12</v>
      </c>
      <c r="P22" s="813">
        <v>12</v>
      </c>
      <c r="Q22" s="813">
        <v>12</v>
      </c>
      <c r="R22" s="813"/>
      <c r="S22" s="814"/>
      <c r="T22" s="814"/>
      <c r="U22" s="814"/>
      <c r="V22" s="814"/>
      <c r="W22" s="814">
        <v>12</v>
      </c>
      <c r="X22" s="814">
        <v>12</v>
      </c>
      <c r="Y22" s="814"/>
      <c r="Z22" s="814"/>
      <c r="AA22" s="814"/>
      <c r="AB22" s="814"/>
      <c r="AC22" s="814"/>
      <c r="AD22" s="814">
        <v>12</v>
      </c>
      <c r="AE22" s="814">
        <v>12</v>
      </c>
      <c r="AF22" s="814"/>
      <c r="AG22" s="814"/>
      <c r="AH22" s="814"/>
      <c r="AI22" s="814"/>
      <c r="AJ22" s="814"/>
      <c r="AK22" s="814">
        <v>12</v>
      </c>
      <c r="AL22" s="814">
        <v>12</v>
      </c>
      <c r="AM22" s="814"/>
      <c r="AN22" s="805">
        <v>144</v>
      </c>
    </row>
    <row r="23" spans="1:40" ht="41.4" x14ac:dyDescent="0.3">
      <c r="A23" s="818">
        <v>8995472</v>
      </c>
      <c r="B23" s="866" t="s">
        <v>1126</v>
      </c>
      <c r="C23" s="866" t="s">
        <v>1127</v>
      </c>
      <c r="D23" s="866" t="s">
        <v>1128</v>
      </c>
      <c r="E23" s="829" t="s">
        <v>1129</v>
      </c>
      <c r="F23" s="907" t="s">
        <v>1066</v>
      </c>
      <c r="G23" s="907" t="s">
        <v>307</v>
      </c>
      <c r="H23" s="871" t="s">
        <v>1130</v>
      </c>
      <c r="I23" s="817">
        <v>12</v>
      </c>
      <c r="J23" s="814">
        <v>12</v>
      </c>
      <c r="K23" s="814"/>
      <c r="L23" s="814"/>
      <c r="M23" s="814"/>
      <c r="N23" s="814">
        <v>12</v>
      </c>
      <c r="O23" s="814">
        <v>12</v>
      </c>
      <c r="P23" s="814">
        <v>12</v>
      </c>
      <c r="Q23" s="814">
        <v>12</v>
      </c>
      <c r="R23" s="814"/>
      <c r="S23" s="814"/>
      <c r="T23" s="814"/>
      <c r="U23" s="814"/>
      <c r="V23" s="814"/>
      <c r="W23" s="814">
        <v>12</v>
      </c>
      <c r="X23" s="814">
        <v>12</v>
      </c>
      <c r="Y23" s="814"/>
      <c r="Z23" s="814"/>
      <c r="AA23" s="814"/>
      <c r="AB23" s="814"/>
      <c r="AC23" s="814"/>
      <c r="AD23" s="814">
        <v>12</v>
      </c>
      <c r="AE23" s="814">
        <v>12</v>
      </c>
      <c r="AF23" s="814"/>
      <c r="AG23" s="814"/>
      <c r="AH23" s="814"/>
      <c r="AI23" s="814"/>
      <c r="AJ23" s="814"/>
      <c r="AK23" s="814">
        <v>12</v>
      </c>
      <c r="AL23" s="814">
        <v>12</v>
      </c>
      <c r="AM23" s="814"/>
      <c r="AN23" s="805">
        <v>144</v>
      </c>
    </row>
    <row r="24" spans="1:40" ht="41.4" x14ac:dyDescent="0.3">
      <c r="A24" s="818">
        <v>6640391</v>
      </c>
      <c r="B24" s="866" t="s">
        <v>1131</v>
      </c>
      <c r="C24" s="866" t="s">
        <v>155</v>
      </c>
      <c r="D24" s="866" t="s">
        <v>1132</v>
      </c>
      <c r="E24" s="829" t="s">
        <v>1095</v>
      </c>
      <c r="F24" s="907" t="s">
        <v>1066</v>
      </c>
      <c r="G24" s="907" t="s">
        <v>307</v>
      </c>
      <c r="H24" s="871" t="s">
        <v>1133</v>
      </c>
      <c r="I24" s="1289" t="s">
        <v>596</v>
      </c>
      <c r="J24" s="1290"/>
      <c r="K24" s="1290"/>
      <c r="L24" s="1290"/>
      <c r="M24" s="1290"/>
      <c r="N24" s="1290"/>
      <c r="O24" s="1290"/>
      <c r="P24" s="1290"/>
      <c r="Q24" s="1290"/>
      <c r="R24" s="1290"/>
      <c r="S24" s="1290"/>
      <c r="T24" s="1290"/>
      <c r="U24" s="1290"/>
      <c r="V24" s="1290"/>
      <c r="W24" s="1290"/>
      <c r="X24" s="1290"/>
      <c r="Y24" s="1290"/>
      <c r="Z24" s="1290"/>
      <c r="AA24" s="1290"/>
      <c r="AB24" s="1290"/>
      <c r="AC24" s="1290"/>
      <c r="AD24" s="1290"/>
      <c r="AE24" s="1290"/>
      <c r="AF24" s="1290"/>
      <c r="AG24" s="1290"/>
      <c r="AH24" s="1290"/>
      <c r="AI24" s="1290"/>
      <c r="AJ24" s="1290"/>
      <c r="AK24" s="1290"/>
      <c r="AL24" s="1290"/>
      <c r="AM24" s="1291"/>
      <c r="AN24" s="805">
        <v>0</v>
      </c>
    </row>
    <row r="25" spans="1:40" x14ac:dyDescent="0.3">
      <c r="A25" s="875" t="s">
        <v>1134</v>
      </c>
      <c r="B25" s="875"/>
      <c r="C25" s="875"/>
      <c r="D25" s="875"/>
      <c r="E25" s="876"/>
      <c r="F25" s="909"/>
      <c r="G25" s="909"/>
      <c r="H25" s="909"/>
      <c r="I25" s="875"/>
      <c r="J25" s="875"/>
      <c r="K25" s="875"/>
      <c r="L25" s="877"/>
      <c r="M25" s="877"/>
      <c r="N25" s="877"/>
      <c r="O25" s="877"/>
      <c r="P25" s="877"/>
      <c r="Q25" s="877"/>
      <c r="R25" s="877"/>
      <c r="S25" s="877"/>
      <c r="T25" s="877"/>
      <c r="U25" s="877"/>
      <c r="V25" s="877"/>
      <c r="W25" s="877"/>
      <c r="X25" s="877"/>
      <c r="Y25" s="877"/>
      <c r="Z25" s="877"/>
      <c r="AA25" s="877"/>
      <c r="AB25" s="877"/>
      <c r="AC25" s="877"/>
      <c r="AD25" s="877"/>
      <c r="AE25" s="875"/>
      <c r="AF25" s="875"/>
      <c r="AG25" s="875"/>
      <c r="AH25" s="875"/>
      <c r="AI25" s="875"/>
      <c r="AJ25" s="875"/>
      <c r="AK25" s="875"/>
      <c r="AL25" s="875"/>
      <c r="AM25" s="875"/>
      <c r="AN25" s="875"/>
    </row>
    <row r="26" spans="1:40" x14ac:dyDescent="0.3">
      <c r="A26" s="875" t="s">
        <v>1135</v>
      </c>
      <c r="B26" s="875"/>
      <c r="C26" s="875"/>
      <c r="D26" s="875"/>
      <c r="E26" s="876"/>
      <c r="F26" s="909"/>
      <c r="G26" s="909"/>
      <c r="H26" s="909"/>
      <c r="I26" s="875"/>
      <c r="J26" s="875"/>
      <c r="K26" s="875"/>
      <c r="L26" s="877"/>
      <c r="M26" s="877"/>
      <c r="N26" s="877"/>
      <c r="O26" s="877"/>
      <c r="P26" s="877"/>
      <c r="Q26" s="877"/>
      <c r="R26" s="877"/>
      <c r="S26" s="877"/>
      <c r="T26" s="877"/>
      <c r="U26" s="877"/>
      <c r="V26" s="877"/>
      <c r="W26" s="877"/>
      <c r="X26" s="877"/>
      <c r="Y26" s="877"/>
      <c r="Z26" s="877"/>
      <c r="AA26" s="877"/>
      <c r="AB26" s="877"/>
      <c r="AC26" s="877"/>
      <c r="AD26" s="877"/>
      <c r="AE26" s="875"/>
      <c r="AF26" s="875"/>
      <c r="AG26" s="875"/>
      <c r="AH26" s="875"/>
      <c r="AI26" s="875"/>
      <c r="AJ26" s="875"/>
      <c r="AK26" s="875"/>
      <c r="AL26" s="875"/>
      <c r="AM26" s="875"/>
      <c r="AN26" s="875"/>
    </row>
    <row r="27" spans="1:40" x14ac:dyDescent="0.3">
      <c r="A27" s="875" t="s">
        <v>1136</v>
      </c>
      <c r="B27" s="875"/>
      <c r="C27" s="875"/>
      <c r="D27" s="875"/>
      <c r="E27" s="876"/>
      <c r="F27" s="909"/>
      <c r="G27" s="909"/>
      <c r="H27" s="909"/>
      <c r="I27" s="875"/>
      <c r="J27" s="875"/>
      <c r="K27" s="875"/>
      <c r="L27" s="877"/>
      <c r="M27" s="877"/>
      <c r="N27" s="877"/>
      <c r="O27" s="877"/>
      <c r="P27" s="877"/>
      <c r="Q27" s="877"/>
      <c r="R27" s="877"/>
      <c r="S27" s="877"/>
      <c r="T27" s="877"/>
      <c r="U27" s="877"/>
      <c r="V27" s="877"/>
      <c r="W27" s="877"/>
      <c r="X27" s="877"/>
      <c r="Y27" s="877"/>
      <c r="Z27" s="877"/>
      <c r="AA27" s="877"/>
      <c r="AB27" s="877"/>
      <c r="AC27" s="877"/>
      <c r="AD27" s="877"/>
      <c r="AE27" s="875"/>
      <c r="AF27" s="875"/>
      <c r="AG27" s="875"/>
      <c r="AH27" s="875"/>
      <c r="AI27" s="875"/>
      <c r="AJ27" s="875"/>
      <c r="AK27" s="875"/>
      <c r="AL27" s="875"/>
      <c r="AM27" s="875"/>
      <c r="AN27" s="875"/>
    </row>
    <row r="28" spans="1:40" x14ac:dyDescent="0.3">
      <c r="A28" s="875" t="s">
        <v>1137</v>
      </c>
      <c r="B28" s="875"/>
      <c r="C28" s="875"/>
      <c r="D28" s="875"/>
      <c r="E28" s="876"/>
      <c r="F28" s="909"/>
      <c r="G28" s="909"/>
      <c r="H28" s="909"/>
      <c r="I28" s="875"/>
      <c r="J28" s="875"/>
      <c r="K28" s="875"/>
      <c r="L28" s="877"/>
      <c r="M28" s="877"/>
      <c r="N28" s="877"/>
      <c r="O28" s="877"/>
      <c r="P28" s="877"/>
      <c r="Q28" s="877"/>
      <c r="R28" s="877"/>
      <c r="S28" s="877"/>
      <c r="T28" s="877"/>
      <c r="U28" s="877"/>
      <c r="V28" s="877"/>
      <c r="W28" s="877"/>
      <c r="X28" s="877"/>
      <c r="Y28" s="877"/>
      <c r="Z28" s="877"/>
      <c r="AA28" s="877"/>
      <c r="AB28" s="877"/>
      <c r="AC28" s="877"/>
      <c r="AD28" s="877"/>
      <c r="AE28" s="875"/>
      <c r="AF28" s="875"/>
      <c r="AG28" s="875"/>
      <c r="AH28" s="875"/>
      <c r="AI28" s="875"/>
      <c r="AJ28" s="875"/>
      <c r="AK28" s="875"/>
      <c r="AL28" s="875"/>
      <c r="AM28" s="875"/>
      <c r="AN28" s="875"/>
    </row>
    <row r="29" spans="1:40" x14ac:dyDescent="0.3">
      <c r="A29" s="875" t="s">
        <v>1138</v>
      </c>
      <c r="B29" s="875"/>
      <c r="C29" s="875"/>
      <c r="D29" s="875"/>
      <c r="E29" s="876"/>
      <c r="F29" s="909"/>
      <c r="G29" s="909"/>
      <c r="H29" s="909"/>
      <c r="I29" s="875"/>
      <c r="J29" s="875"/>
      <c r="K29" s="875"/>
      <c r="L29" s="877"/>
      <c r="M29" s="877"/>
      <c r="N29" s="877"/>
      <c r="O29" s="877"/>
      <c r="P29" s="877"/>
      <c r="Q29" s="877"/>
      <c r="R29" s="877"/>
      <c r="S29" s="877"/>
      <c r="T29" s="877"/>
      <c r="U29" s="877"/>
      <c r="V29" s="877"/>
      <c r="W29" s="877"/>
      <c r="X29" s="877"/>
      <c r="Y29" s="877"/>
      <c r="Z29" s="877"/>
      <c r="AA29" s="877"/>
      <c r="AB29" s="877"/>
      <c r="AC29" s="877"/>
      <c r="AD29" s="877"/>
      <c r="AE29" s="875"/>
      <c r="AF29" s="875"/>
      <c r="AG29" s="875"/>
      <c r="AH29" s="875"/>
      <c r="AI29" s="875"/>
      <c r="AJ29" s="875"/>
      <c r="AK29" s="875"/>
      <c r="AL29" s="875"/>
      <c r="AM29" s="875"/>
      <c r="AN29" s="875"/>
    </row>
    <row r="30" spans="1:40" x14ac:dyDescent="0.3">
      <c r="A30" s="875"/>
      <c r="B30" s="875"/>
      <c r="C30" s="875"/>
      <c r="D30" s="875"/>
      <c r="E30" s="876"/>
      <c r="F30" s="909"/>
      <c r="G30" s="909"/>
      <c r="H30" s="909"/>
      <c r="I30" s="875"/>
      <c r="J30" s="875"/>
      <c r="K30" s="875"/>
      <c r="L30" s="877"/>
      <c r="M30" s="877"/>
      <c r="N30" s="877"/>
      <c r="O30" s="877"/>
      <c r="P30" s="877"/>
      <c r="Q30" s="877"/>
      <c r="R30" s="877"/>
      <c r="S30" s="877"/>
      <c r="T30" s="877"/>
      <c r="U30" s="877"/>
      <c r="V30" s="877"/>
      <c r="W30" s="877"/>
      <c r="X30" s="877"/>
      <c r="Y30" s="877"/>
      <c r="Z30" s="877"/>
      <c r="AA30" s="877"/>
      <c r="AB30" s="877"/>
      <c r="AC30" s="877"/>
      <c r="AD30" s="877"/>
      <c r="AE30" s="875"/>
      <c r="AF30" s="875"/>
      <c r="AG30" s="875"/>
      <c r="AH30" s="875"/>
      <c r="AI30" s="875"/>
      <c r="AJ30" s="875"/>
      <c r="AK30" s="875"/>
      <c r="AL30" s="875"/>
      <c r="AM30" s="875"/>
      <c r="AN30" s="875"/>
    </row>
    <row r="31" spans="1:40" x14ac:dyDescent="0.3">
      <c r="A31" s="875"/>
      <c r="B31" s="875"/>
      <c r="C31" s="875"/>
      <c r="D31" s="875"/>
      <c r="E31" s="876"/>
      <c r="F31" s="909"/>
      <c r="G31" s="909"/>
      <c r="H31" s="909"/>
      <c r="I31" s="875"/>
      <c r="J31" s="875"/>
      <c r="K31" s="875"/>
      <c r="L31" s="877"/>
      <c r="M31" s="877"/>
      <c r="N31" s="877"/>
      <c r="O31" s="877"/>
      <c r="P31" s="877"/>
      <c r="Q31" s="877"/>
      <c r="R31" s="877"/>
      <c r="S31" s="877"/>
      <c r="T31" s="877"/>
      <c r="U31" s="877"/>
      <c r="V31" s="877"/>
      <c r="W31" s="877"/>
      <c r="X31" s="877"/>
      <c r="Y31" s="877"/>
      <c r="Z31" s="877"/>
      <c r="AA31" s="877"/>
      <c r="AB31" s="877"/>
      <c r="AC31" s="877"/>
      <c r="AD31" s="877"/>
      <c r="AE31" s="875"/>
      <c r="AF31" s="875"/>
      <c r="AG31" s="875"/>
      <c r="AH31" s="875"/>
      <c r="AI31" s="875"/>
      <c r="AJ31" s="875"/>
      <c r="AK31" s="875"/>
      <c r="AL31" s="875"/>
      <c r="AM31" s="875"/>
      <c r="AN31" s="875"/>
    </row>
    <row r="32" spans="1:40" x14ac:dyDescent="0.3">
      <c r="A32" s="875"/>
      <c r="B32" s="875"/>
      <c r="C32" s="875"/>
      <c r="D32" s="875"/>
      <c r="E32" s="876"/>
      <c r="F32" s="909"/>
      <c r="G32" s="909"/>
      <c r="H32" s="909"/>
      <c r="I32" s="875"/>
      <c r="J32" s="875"/>
      <c r="K32" s="875"/>
      <c r="L32" s="877"/>
      <c r="M32" s="877"/>
      <c r="N32" s="877"/>
      <c r="O32" s="877"/>
      <c r="P32" s="877"/>
      <c r="Q32" s="877"/>
      <c r="R32" s="877"/>
      <c r="S32" s="877"/>
      <c r="T32" s="877"/>
      <c r="U32" s="877"/>
      <c r="V32" s="877"/>
      <c r="W32" s="877"/>
      <c r="X32" s="877"/>
      <c r="Y32" s="877"/>
      <c r="Z32" s="877"/>
      <c r="AA32" s="877"/>
      <c r="AB32" s="877"/>
      <c r="AC32" s="877"/>
      <c r="AD32" s="877"/>
      <c r="AE32" s="875"/>
      <c r="AF32" s="875"/>
      <c r="AG32" s="875"/>
      <c r="AH32" s="875"/>
      <c r="AI32" s="875"/>
      <c r="AJ32" s="875"/>
      <c r="AK32" s="875"/>
      <c r="AL32" s="875"/>
      <c r="AM32" s="875"/>
      <c r="AN32" s="875"/>
    </row>
    <row r="33" spans="1:40" x14ac:dyDescent="0.3">
      <c r="A33" s="878"/>
      <c r="B33" s="879" t="s">
        <v>1139</v>
      </c>
      <c r="C33" s="878"/>
      <c r="D33" s="878"/>
      <c r="E33" s="880"/>
      <c r="F33" s="910" t="s">
        <v>272</v>
      </c>
      <c r="G33" s="910"/>
      <c r="H33" s="910"/>
      <c r="I33" s="878" t="s">
        <v>272</v>
      </c>
      <c r="J33" s="878"/>
      <c r="K33" s="878"/>
      <c r="L33" s="878"/>
      <c r="M33" s="879" t="s">
        <v>1140</v>
      </c>
      <c r="N33" s="879"/>
      <c r="O33" s="879"/>
      <c r="P33" s="879"/>
      <c r="Q33" s="879"/>
      <c r="R33" s="879"/>
      <c r="S33" s="879"/>
      <c r="T33" s="879"/>
      <c r="U33" s="879"/>
      <c r="V33" s="879"/>
      <c r="W33" s="879"/>
      <c r="X33" s="878"/>
      <c r="Y33" s="878"/>
      <c r="Z33" s="878"/>
      <c r="AA33" s="878"/>
      <c r="AB33" s="878"/>
      <c r="AC33" s="878"/>
      <c r="AD33" s="878"/>
      <c r="AE33" s="881"/>
      <c r="AF33" s="881"/>
      <c r="AG33" s="881"/>
      <c r="AH33" s="881"/>
      <c r="AI33" s="881"/>
      <c r="AJ33" s="881"/>
      <c r="AK33" s="881"/>
      <c r="AL33" s="881"/>
      <c r="AM33" s="881"/>
      <c r="AN33" s="881"/>
    </row>
    <row r="34" spans="1:40" x14ac:dyDescent="0.3">
      <c r="A34" s="819" t="s">
        <v>1141</v>
      </c>
      <c r="B34" s="882"/>
      <c r="C34" s="882"/>
      <c r="D34" s="882"/>
      <c r="E34" s="883"/>
      <c r="F34" s="911"/>
      <c r="G34" s="911"/>
      <c r="H34" s="911"/>
      <c r="I34" s="819" t="s">
        <v>1142</v>
      </c>
      <c r="J34" s="882"/>
      <c r="K34" s="882"/>
      <c r="L34" s="1292" t="s">
        <v>1143</v>
      </c>
      <c r="M34" s="1292"/>
      <c r="N34" s="1292"/>
      <c r="O34" s="1292"/>
      <c r="P34" s="1292"/>
      <c r="Q34" s="1292"/>
      <c r="R34" s="1292"/>
      <c r="S34" s="1292"/>
      <c r="T34" s="1292"/>
      <c r="U34" s="1292"/>
      <c r="V34" s="1292"/>
      <c r="W34" s="1292"/>
      <c r="X34" s="1292"/>
      <c r="Y34" s="1292"/>
      <c r="Z34" s="1292"/>
      <c r="AA34" s="1292"/>
      <c r="AB34" s="1292"/>
      <c r="AC34" s="1292"/>
      <c r="AD34" s="1292"/>
      <c r="AE34" s="881"/>
      <c r="AF34" s="881"/>
      <c r="AG34" s="881"/>
      <c r="AH34" s="881"/>
      <c r="AI34" s="881"/>
      <c r="AJ34" s="881"/>
      <c r="AK34" s="881"/>
      <c r="AL34" s="881"/>
      <c r="AM34" s="881"/>
      <c r="AN34" s="881"/>
    </row>
    <row r="35" spans="1:40" x14ac:dyDescent="0.3">
      <c r="A35" s="819" t="s">
        <v>1144</v>
      </c>
      <c r="B35" s="882"/>
      <c r="C35" s="882"/>
      <c r="D35" s="882"/>
      <c r="E35" s="883"/>
      <c r="F35" s="911"/>
      <c r="G35" s="910"/>
      <c r="H35" s="912" t="s">
        <v>1145</v>
      </c>
      <c r="I35" s="882"/>
      <c r="J35" s="878"/>
      <c r="K35" s="878"/>
      <c r="L35" s="879" t="s">
        <v>1</v>
      </c>
      <c r="M35" s="878"/>
      <c r="N35" s="878"/>
      <c r="O35" s="878"/>
      <c r="P35" s="878"/>
      <c r="Q35" s="878"/>
      <c r="R35" s="878"/>
      <c r="S35" s="878"/>
      <c r="T35" s="878"/>
      <c r="U35" s="878"/>
      <c r="V35" s="878"/>
      <c r="W35" s="878"/>
      <c r="X35" s="878"/>
      <c r="Y35" s="882"/>
      <c r="Z35" s="882"/>
      <c r="AA35" s="882"/>
      <c r="AB35" s="882"/>
      <c r="AC35" s="882"/>
      <c r="AD35" s="882"/>
      <c r="AE35" s="881"/>
      <c r="AF35" s="881"/>
      <c r="AG35" s="881"/>
      <c r="AH35" s="881"/>
      <c r="AI35" s="881"/>
      <c r="AJ35" s="881"/>
      <c r="AK35" s="881"/>
      <c r="AL35" s="881"/>
      <c r="AM35" s="881"/>
      <c r="AN35" s="881"/>
    </row>
    <row r="36" spans="1:40" x14ac:dyDescent="0.3">
      <c r="A36" s="884"/>
      <c r="B36" s="884"/>
      <c r="C36" s="884"/>
      <c r="D36" s="884"/>
      <c r="E36" s="885"/>
      <c r="F36" s="913"/>
      <c r="H36" s="913"/>
      <c r="I36" s="884"/>
      <c r="J36" s="884"/>
      <c r="K36" s="884"/>
      <c r="L36" s="886"/>
      <c r="M36" s="886"/>
      <c r="N36" s="886"/>
      <c r="O36" s="886"/>
      <c r="P36" s="886"/>
      <c r="Q36" s="886"/>
      <c r="R36" s="886"/>
      <c r="S36" s="886"/>
      <c r="T36" s="886"/>
      <c r="U36" s="886"/>
      <c r="V36" s="886"/>
      <c r="W36" s="886"/>
      <c r="X36" s="886"/>
      <c r="Y36" s="886"/>
      <c r="Z36" s="886"/>
      <c r="AA36" s="886"/>
      <c r="AB36" s="886"/>
      <c r="AC36" s="886"/>
      <c r="AD36" s="886"/>
      <c r="AE36" s="884"/>
      <c r="AF36" s="884"/>
      <c r="AG36" s="884"/>
      <c r="AH36" s="884"/>
      <c r="AI36" s="884"/>
      <c r="AJ36" s="884"/>
      <c r="AK36" s="884"/>
      <c r="AL36" s="884"/>
      <c r="AM36" s="884"/>
      <c r="AN36" s="884"/>
    </row>
    <row r="37" spans="1:40" x14ac:dyDescent="0.3">
      <c r="A37" s="884"/>
      <c r="B37" s="884"/>
      <c r="C37" s="884"/>
      <c r="D37" s="884"/>
      <c r="E37" s="885"/>
      <c r="F37" s="913"/>
      <c r="G37" s="913"/>
      <c r="H37" s="913"/>
      <c r="I37" s="884"/>
      <c r="J37" s="884"/>
      <c r="K37" s="884"/>
      <c r="L37" s="884"/>
      <c r="M37" s="884"/>
      <c r="N37" s="884"/>
      <c r="O37" s="884"/>
      <c r="P37" s="884"/>
      <c r="Q37" s="884"/>
      <c r="R37" s="884"/>
      <c r="S37" s="884"/>
      <c r="T37" s="884"/>
      <c r="U37" s="884"/>
      <c r="V37" s="884"/>
      <c r="W37" s="884"/>
      <c r="X37" s="884"/>
      <c r="Y37" s="884"/>
      <c r="Z37" s="884"/>
      <c r="AA37" s="884"/>
      <c r="AB37" s="884"/>
      <c r="AC37" s="884"/>
      <c r="AD37" s="884"/>
      <c r="AE37" s="884"/>
      <c r="AF37" s="884"/>
      <c r="AG37" s="884"/>
      <c r="AH37" s="884"/>
      <c r="AI37" s="884"/>
      <c r="AJ37" s="884"/>
      <c r="AK37" s="884"/>
      <c r="AL37" s="884"/>
      <c r="AM37" s="884"/>
      <c r="AN37" s="884"/>
    </row>
    <row r="45" spans="1:40" x14ac:dyDescent="0.3">
      <c r="A45" s="887"/>
      <c r="B45" s="887"/>
    </row>
    <row r="46" spans="1:40" x14ac:dyDescent="0.3">
      <c r="A46" s="889"/>
      <c r="B46" s="890"/>
    </row>
    <row r="47" spans="1:40" x14ac:dyDescent="0.3">
      <c r="A47" s="889"/>
      <c r="B47" s="890"/>
    </row>
    <row r="48" spans="1:40" x14ac:dyDescent="0.3">
      <c r="A48" s="889"/>
      <c r="B48" s="890"/>
    </row>
  </sheetData>
  <mergeCells count="15">
    <mergeCell ref="R12:AC12"/>
    <mergeCell ref="K7:Z7"/>
    <mergeCell ref="L34:AD34"/>
    <mergeCell ref="A2:E2"/>
    <mergeCell ref="D3:E3"/>
    <mergeCell ref="G3:AE3"/>
    <mergeCell ref="A4:A5"/>
    <mergeCell ref="B4:B5"/>
    <mergeCell ref="C4:C5"/>
    <mergeCell ref="D4:D5"/>
    <mergeCell ref="E4:E5"/>
    <mergeCell ref="F4:F5"/>
    <mergeCell ref="G4:G5"/>
    <mergeCell ref="H4:H5"/>
    <mergeCell ref="I24:AM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cirugia</vt:lpstr>
      <vt:lpstr>cons ext</vt:lpstr>
      <vt:lpstr>dilatacion</vt:lpstr>
      <vt:lpstr>emergencia</vt:lpstr>
      <vt:lpstr>ginecologia</vt:lpstr>
      <vt:lpstr>hemodialisis</vt:lpstr>
      <vt:lpstr>jefatura enfermeria</vt:lpstr>
      <vt:lpstr>med int</vt:lpstr>
      <vt:lpstr>neonatologia</vt:lpstr>
      <vt:lpstr>pediatria</vt:lpstr>
      <vt:lpstr>quirofano</vt:lpstr>
      <vt:lpstr>uci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2026-08-05T01:18:46Z</dcterms:modified>
</cp:coreProperties>
</file>